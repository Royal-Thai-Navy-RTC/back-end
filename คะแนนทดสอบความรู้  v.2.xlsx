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.68\สอบ\"/>
    </mc:Choice>
  </mc:AlternateContent>
  <xr:revisionPtr revIDLastSave="0" documentId="13_ncr:1_{E5F093D4-8703-4A61-A5DC-6FB0428D28FE}" xr6:coauthVersionLast="47" xr6:coauthVersionMax="47" xr10:uidLastSave="{00000000-0000-0000-0000-000000000000}"/>
  <bookViews>
    <workbookView xWindow="-108" yWindow="-108" windowWidth="23256" windowHeight="12456" activeTab="4" xr2:uid="{D45F3B7D-284D-459A-A9E5-F76CC5AE7FA4}"/>
  </bookViews>
  <sheets>
    <sheet name="คะแนนรวม" sheetId="1" r:id="rId1"/>
    <sheet name="ความรู้" sheetId="2" r:id="rId2"/>
    <sheet name="ด้านวินัย" sheetId="3" r:id="rId3"/>
    <sheet name="ด้านจริยธรรม" sheetId="5" r:id="rId4"/>
    <sheet name="ด้านร่างกาย" sheetId="4" r:id="rId5"/>
    <sheet name="คะแนนรายบุคคล" sheetId="6" r:id="rId6"/>
    <sheet name="ผนวก" sheetId="7" r:id="rId7"/>
    <sheet name="สรุปคะแนน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7" l="1"/>
  <c r="G26" i="7"/>
  <c r="G27" i="7"/>
  <c r="G28" i="7"/>
  <c r="G24" i="7"/>
  <c r="G29" i="7" s="1"/>
  <c r="G30" i="7" s="1"/>
  <c r="G18" i="7"/>
  <c r="G19" i="7"/>
  <c r="G20" i="7"/>
  <c r="G21" i="7"/>
  <c r="G17" i="7"/>
  <c r="G22" i="7" s="1"/>
  <c r="G23" i="7" s="1"/>
  <c r="G11" i="7"/>
  <c r="G12" i="7"/>
  <c r="G13" i="7"/>
  <c r="G14" i="7"/>
  <c r="G10" i="7"/>
  <c r="G15" i="7" s="1"/>
  <c r="G16" i="7" s="1"/>
  <c r="G4" i="7"/>
  <c r="G5" i="7"/>
  <c r="G6" i="7"/>
  <c r="G7" i="7"/>
  <c r="G3" i="7"/>
  <c r="G8" i="7" s="1"/>
  <c r="G9" i="7" s="1"/>
  <c r="F29" i="7"/>
  <c r="F30" i="7" s="1"/>
  <c r="E29" i="7"/>
  <c r="E30" i="7" s="1"/>
  <c r="D29" i="7"/>
  <c r="D30" i="7" s="1"/>
  <c r="C29" i="7"/>
  <c r="C30" i="7" s="1"/>
  <c r="F22" i="7"/>
  <c r="F23" i="7" s="1"/>
  <c r="E22" i="7"/>
  <c r="E23" i="7" s="1"/>
  <c r="D22" i="7"/>
  <c r="D23" i="7" s="1"/>
  <c r="C22" i="7"/>
  <c r="C23" i="7" s="1"/>
  <c r="C16" i="7"/>
  <c r="F15" i="7"/>
  <c r="F16" i="7" s="1"/>
  <c r="E15" i="7"/>
  <c r="E16" i="7" s="1"/>
  <c r="D15" i="7"/>
  <c r="D16" i="7" s="1"/>
  <c r="C15" i="7"/>
  <c r="D8" i="7"/>
  <c r="D9" i="7" s="1"/>
  <c r="E8" i="7"/>
  <c r="E9" i="7" s="1"/>
  <c r="F8" i="7"/>
  <c r="F9" i="7" s="1"/>
  <c r="C8" i="7"/>
  <c r="C9" i="7" s="1"/>
  <c r="D5" i="1"/>
  <c r="D6" i="1"/>
  <c r="D7" i="1"/>
  <c r="D4" i="1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4" i="3"/>
  <c r="Q23" i="2"/>
  <c r="Q18" i="2"/>
  <c r="Q13" i="2"/>
  <c r="Q8" i="2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4" i="3"/>
  <c r="E4" i="3"/>
  <c r="E5" i="3"/>
  <c r="E6" i="3"/>
  <c r="E3" i="3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4" i="6"/>
  <c r="E31" i="7" l="1"/>
  <c r="F31" i="7"/>
  <c r="D31" i="7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4" i="6"/>
  <c r="G17" i="4" l="1"/>
  <c r="B5" i="1"/>
  <c r="B6" i="1"/>
  <c r="B7" i="1"/>
  <c r="B4" i="1"/>
  <c r="T4" i="3"/>
  <c r="T5" i="3"/>
  <c r="T6" i="3"/>
  <c r="T3" i="3"/>
  <c r="G7" i="5"/>
  <c r="G13" i="5"/>
  <c r="H30" i="1"/>
  <c r="H31" i="1"/>
  <c r="H32" i="1"/>
  <c r="H29" i="1"/>
  <c r="D5" i="5"/>
  <c r="G5" i="5" s="1"/>
  <c r="D6" i="5"/>
  <c r="G6" i="5" s="1"/>
  <c r="D7" i="5"/>
  <c r="D8" i="5"/>
  <c r="G8" i="5" s="1"/>
  <c r="D4" i="5"/>
  <c r="G4" i="5" s="1"/>
  <c r="D19" i="5"/>
  <c r="G19" i="5" s="1"/>
  <c r="D20" i="5"/>
  <c r="G20" i="5" s="1"/>
  <c r="D21" i="5"/>
  <c r="G21" i="5" s="1"/>
  <c r="D22" i="5"/>
  <c r="G22" i="5" s="1"/>
  <c r="D23" i="5"/>
  <c r="G23" i="5" s="1"/>
  <c r="D9" i="5"/>
  <c r="G9" i="5" s="1"/>
  <c r="D10" i="5"/>
  <c r="G10" i="5" s="1"/>
  <c r="D11" i="5"/>
  <c r="G11" i="5" s="1"/>
  <c r="D12" i="5"/>
  <c r="G12" i="5" s="1"/>
  <c r="D13" i="5"/>
  <c r="D14" i="5"/>
  <c r="G14" i="5" s="1"/>
  <c r="D15" i="5"/>
  <c r="G15" i="5" s="1"/>
  <c r="D16" i="5"/>
  <c r="G16" i="5" s="1"/>
  <c r="D17" i="5"/>
  <c r="G17" i="5" s="1"/>
  <c r="D18" i="5"/>
  <c r="G18" i="5" s="1"/>
  <c r="N5" i="2"/>
  <c r="O5" i="2" s="1"/>
  <c r="N6" i="2"/>
  <c r="O6" i="2" s="1"/>
  <c r="N7" i="2"/>
  <c r="O7" i="2" s="1"/>
  <c r="N8" i="2"/>
  <c r="O8" i="2" s="1"/>
  <c r="N9" i="2"/>
  <c r="O9" i="2" s="1"/>
  <c r="N10" i="2"/>
  <c r="O10" i="2" s="1"/>
  <c r="N11" i="2"/>
  <c r="O11" i="2" s="1"/>
  <c r="N12" i="2"/>
  <c r="N13" i="2"/>
  <c r="N14" i="2"/>
  <c r="O14" i="2" s="1"/>
  <c r="N15" i="2"/>
  <c r="N16" i="2"/>
  <c r="O16" i="2" s="1"/>
  <c r="N17" i="2"/>
  <c r="O17" i="2" s="1"/>
  <c r="N18" i="2"/>
  <c r="N19" i="2"/>
  <c r="N20" i="2"/>
  <c r="O20" i="2" s="1"/>
  <c r="N21" i="2"/>
  <c r="O21" i="2" s="1"/>
  <c r="N22" i="2"/>
  <c r="O22" i="2" s="1"/>
  <c r="N23" i="2"/>
  <c r="O23" i="2" s="1"/>
  <c r="N4" i="2"/>
  <c r="O4" i="2" s="1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4" i="6"/>
  <c r="G32" i="8"/>
  <c r="G30" i="8"/>
  <c r="G26" i="8"/>
  <c r="G27" i="8"/>
  <c r="G28" i="8"/>
  <c r="G29" i="8"/>
  <c r="G25" i="8"/>
  <c r="G23" i="8"/>
  <c r="G19" i="8"/>
  <c r="G20" i="8"/>
  <c r="G21" i="8"/>
  <c r="G22" i="8"/>
  <c r="G18" i="8"/>
  <c r="G17" i="8"/>
  <c r="G16" i="8"/>
  <c r="G12" i="8"/>
  <c r="G13" i="8"/>
  <c r="G14" i="8"/>
  <c r="G15" i="8"/>
  <c r="G11" i="8"/>
  <c r="G10" i="8"/>
  <c r="G9" i="8"/>
  <c r="G5" i="8"/>
  <c r="G6" i="8"/>
  <c r="G7" i="8"/>
  <c r="G8" i="8"/>
  <c r="G4" i="8"/>
  <c r="J12" i="5"/>
  <c r="I16" i="6" l="1"/>
  <c r="I17" i="6"/>
  <c r="I18" i="6"/>
  <c r="I19" i="6"/>
  <c r="I20" i="6"/>
  <c r="I5" i="6"/>
  <c r="I6" i="6"/>
  <c r="I7" i="6"/>
  <c r="I8" i="6"/>
  <c r="I9" i="6"/>
  <c r="I10" i="6"/>
  <c r="I11" i="6"/>
  <c r="I12" i="6"/>
  <c r="I13" i="6"/>
  <c r="I14" i="6"/>
  <c r="I21" i="6"/>
  <c r="I4" i="6"/>
  <c r="I15" i="6"/>
  <c r="I22" i="6"/>
  <c r="I23" i="6"/>
  <c r="E19" i="2"/>
  <c r="P19" i="2" s="1"/>
  <c r="O19" i="2"/>
  <c r="E18" i="2"/>
  <c r="P18" i="2" s="1"/>
  <c r="O18" i="2"/>
  <c r="E15" i="2"/>
  <c r="P15" i="2" s="1"/>
  <c r="O15" i="2"/>
  <c r="E13" i="2"/>
  <c r="P13" i="2" s="1"/>
  <c r="O13" i="2"/>
  <c r="E12" i="2"/>
  <c r="P12" i="2" s="1"/>
  <c r="O12" i="2"/>
  <c r="H23" i="5"/>
  <c r="H18" i="5"/>
  <c r="H13" i="5"/>
  <c r="H8" i="5"/>
  <c r="E4" i="2"/>
  <c r="P4" i="2" s="1"/>
  <c r="E6" i="2"/>
  <c r="P6" i="2" s="1"/>
  <c r="E5" i="2"/>
  <c r="P5" i="2" s="1"/>
  <c r="E22" i="2"/>
  <c r="P22" i="2" s="1"/>
  <c r="E21" i="2"/>
  <c r="P21" i="2" s="1"/>
  <c r="E20" i="2"/>
  <c r="P20" i="2" s="1"/>
  <c r="E17" i="2"/>
  <c r="P17" i="2" s="1"/>
  <c r="E16" i="2"/>
  <c r="P16" i="2" s="1"/>
  <c r="E14" i="2"/>
  <c r="P14" i="2" s="1"/>
  <c r="E11" i="2"/>
  <c r="P11" i="2" s="1"/>
  <c r="E10" i="2"/>
  <c r="P10" i="2" s="1"/>
  <c r="E9" i="2"/>
  <c r="P9" i="2" s="1"/>
  <c r="E8" i="2"/>
  <c r="P8" i="2" s="1"/>
  <c r="E23" i="2"/>
  <c r="P23" i="2" s="1"/>
  <c r="E7" i="2"/>
  <c r="P7" i="2" s="1"/>
  <c r="F19" i="2" l="1"/>
  <c r="D30" i="1"/>
  <c r="D31" i="1"/>
  <c r="D32" i="1"/>
  <c r="D29" i="1"/>
  <c r="G12" i="4"/>
  <c r="G13" i="4"/>
  <c r="G14" i="4"/>
  <c r="V4" i="1" l="1"/>
  <c r="V5" i="1"/>
  <c r="V6" i="1"/>
  <c r="V7" i="1"/>
  <c r="V3" i="1"/>
  <c r="E30" i="1" l="1"/>
  <c r="E31" i="1"/>
  <c r="E32" i="1"/>
  <c r="E29" i="1"/>
  <c r="F30" i="1" l="1"/>
  <c r="F31" i="1"/>
  <c r="F32" i="1"/>
  <c r="F29" i="1"/>
  <c r="Q8" i="1"/>
  <c r="Q9" i="1" s="1"/>
  <c r="Q10" i="1" s="1"/>
  <c r="R8" i="1"/>
  <c r="R9" i="1" s="1"/>
  <c r="R10" i="1" s="1"/>
  <c r="S8" i="1"/>
  <c r="S9" i="1" s="1"/>
  <c r="S10" i="1" s="1"/>
  <c r="T8" i="1"/>
  <c r="T9" i="1" s="1"/>
  <c r="T10" i="1" s="1"/>
  <c r="P8" i="1"/>
  <c r="P9" i="1" s="1"/>
  <c r="P10" i="1" s="1"/>
  <c r="L23" i="3" l="1"/>
  <c r="R23" i="3" s="1"/>
  <c r="L22" i="3"/>
  <c r="R22" i="3" s="1"/>
  <c r="L21" i="3"/>
  <c r="R21" i="3" s="1"/>
  <c r="L20" i="3"/>
  <c r="R20" i="3" s="1"/>
  <c r="O7" i="1"/>
  <c r="O6" i="1"/>
  <c r="O5" i="1"/>
  <c r="O4" i="1"/>
  <c r="O3" i="1"/>
  <c r="G24" i="4"/>
  <c r="J24" i="4" s="1"/>
  <c r="G23" i="4"/>
  <c r="J23" i="4" s="1"/>
  <c r="G22" i="4"/>
  <c r="J22" i="4" s="1"/>
  <c r="G21" i="4"/>
  <c r="J21" i="4" l="1"/>
  <c r="L5" i="3" l="1"/>
  <c r="R5" i="3" s="1"/>
  <c r="L6" i="3"/>
  <c r="R6" i="3" s="1"/>
  <c r="L4" i="3"/>
  <c r="R4" i="3" s="1"/>
  <c r="L12" i="3"/>
  <c r="R12" i="3" s="1"/>
  <c r="L13" i="3"/>
  <c r="R13" i="3" s="1"/>
  <c r="L14" i="3"/>
  <c r="R14" i="3" s="1"/>
  <c r="L15" i="3"/>
  <c r="R15" i="3" s="1"/>
  <c r="L16" i="3"/>
  <c r="R16" i="3" s="1"/>
  <c r="L17" i="3"/>
  <c r="R17" i="3" s="1"/>
  <c r="L18" i="3"/>
  <c r="R18" i="3" s="1"/>
  <c r="L19" i="3"/>
  <c r="L11" i="3"/>
  <c r="R11" i="3" s="1"/>
  <c r="L10" i="3"/>
  <c r="R10" i="3" s="1"/>
  <c r="L9" i="3"/>
  <c r="R9" i="3" s="1"/>
  <c r="L8" i="3"/>
  <c r="R8" i="3" s="1"/>
  <c r="L7" i="3"/>
  <c r="R7" i="3" s="1"/>
  <c r="S13" i="3" l="1"/>
  <c r="S18" i="3"/>
  <c r="S8" i="3"/>
  <c r="M19" i="3"/>
  <c r="R19" i="3"/>
  <c r="S23" i="3" s="1"/>
  <c r="M14" i="3"/>
  <c r="M4" i="3"/>
  <c r="M9" i="3"/>
  <c r="G5" i="4" l="1"/>
  <c r="J5" i="4" l="1"/>
  <c r="J32" i="1"/>
  <c r="J31" i="1"/>
  <c r="J30" i="1"/>
  <c r="J29" i="1"/>
  <c r="H7" i="1"/>
  <c r="H5" i="1"/>
  <c r="H6" i="1"/>
  <c r="H4" i="1"/>
  <c r="F5" i="1"/>
  <c r="F6" i="1"/>
  <c r="F7" i="1"/>
  <c r="G9" i="4"/>
  <c r="J9" i="4" l="1"/>
  <c r="F14" i="2" l="1"/>
  <c r="F9" i="2"/>
  <c r="F4" i="2"/>
  <c r="G6" i="4" l="1"/>
  <c r="G7" i="4"/>
  <c r="J7" i="4" s="1"/>
  <c r="G8" i="4"/>
  <c r="J8" i="4" s="1"/>
  <c r="G10" i="4"/>
  <c r="G11" i="4"/>
  <c r="J11" i="4" s="1"/>
  <c r="J12" i="4"/>
  <c r="J14" i="4"/>
  <c r="G15" i="4"/>
  <c r="G16" i="4"/>
  <c r="J16" i="4" s="1"/>
  <c r="G18" i="4"/>
  <c r="J18" i="4" s="1"/>
  <c r="G19" i="4"/>
  <c r="J19" i="4" s="1"/>
  <c r="G20" i="4"/>
  <c r="H20" i="4" s="1"/>
  <c r="H5" i="4" l="1"/>
  <c r="H15" i="4"/>
  <c r="H10" i="4"/>
  <c r="J20" i="4"/>
  <c r="K24" i="4" s="1"/>
  <c r="J15" i="4"/>
  <c r="J17" i="4"/>
  <c r="J13" i="4"/>
  <c r="J10" i="4"/>
  <c r="J6" i="4"/>
  <c r="K9" i="4" s="1"/>
  <c r="K19" i="4" l="1"/>
  <c r="K14" i="4"/>
  <c r="E14" i="5"/>
  <c r="E9" i="5"/>
  <c r="E4" i="5"/>
  <c r="E19" i="5"/>
  <c r="F4" i="1"/>
  <c r="J4" i="1" s="1"/>
  <c r="J5" i="1"/>
  <c r="J6" i="1"/>
  <c r="J7" i="1"/>
  <c r="C14" i="1"/>
</calcChain>
</file>

<file path=xl/sharedStrings.xml><?xml version="1.0" encoding="utf-8"?>
<sst xmlns="http://schemas.openxmlformats.org/spreadsheetml/2006/main" count="321" uniqueCount="171">
  <si>
    <t>ผลการประเมินระดับกองพัน</t>
  </si>
  <si>
    <t>ด้านสมรรถภาพร่างกาย (๒๐)</t>
  </si>
  <si>
    <t>ด้านคุณธรรม จริยธรรม ทัศนคติ สังคม (๒๐)</t>
  </si>
  <si>
    <t>คะแนนรวม</t>
  </si>
  <si>
    <t>กองพันฝึกที่ ๑</t>
  </si>
  <si>
    <t>กองพันฝึกที่ ๒</t>
  </si>
  <si>
    <t>กองพันฝึกที่ ๓</t>
  </si>
  <si>
    <t>กองพันฝึกที่ ๔</t>
  </si>
  <si>
    <t>คะแนน</t>
  </si>
  <si>
    <t>คิดเป็น</t>
  </si>
  <si>
    <t xml:space="preserve">คะแนน </t>
  </si>
  <si>
    <t>คะแนนรวม(100)</t>
  </si>
  <si>
    <t>อันดับ ๑</t>
  </si>
  <si>
    <t>หมายเหตุ</t>
  </si>
  <si>
    <t>สังกัด</t>
  </si>
  <si>
    <t>กองร้อยฝึก</t>
  </si>
  <si>
    <t>กองพันฝึก</t>
  </si>
  <si>
    <t>คะแนนเฉลี่ย</t>
  </si>
  <si>
    <t>ผลการประเมินสมรรถนะด้านความรู้</t>
  </si>
  <si>
    <t>ผลการประเมินสมรรถนะด้านวินัย</t>
  </si>
  <si>
    <t>สถานีดันพื้น</t>
  </si>
  <si>
    <t>สถานีวิ่ง ๒.๔ กม.</t>
  </si>
  <si>
    <t>กายบริหารราชนาวี</t>
  </si>
  <si>
    <t>หัวข้อการทดสอบ</t>
  </si>
  <si>
    <t>สถานีลุก-นั่ง</t>
  </si>
  <si>
    <t>ผลการประเมินสมรรถนะด้านร่างกาย</t>
  </si>
  <si>
    <t>๑๐๐ คะแนน</t>
  </si>
  <si>
    <t>๔๐๐ คะแนน</t>
  </si>
  <si>
    <t>ผลการประเมินสมรรถนะด้านคุณธรรม จริยธรรม และทัศนคติ</t>
  </si>
  <si>
    <t>ยศ ชื่อ -สกุล</t>
  </si>
  <si>
    <t xml:space="preserve">        วิชาทหารราบ        (๕๐ คะแนน)</t>
  </si>
  <si>
    <t xml:space="preserve">     การสวนสนาม    (๓๐ คะแนน)</t>
  </si>
  <si>
    <t>ผลการประเมินคุณลักษณะทหารดีเด่นรายบุคคล</t>
  </si>
  <si>
    <t xml:space="preserve">     คะแนนรวม     (๑๐๐ คะแนน)</t>
  </si>
  <si>
    <t>อันดับ 1</t>
  </si>
  <si>
    <t xml:space="preserve">       ด้านวินัย ( 4๐) </t>
  </si>
  <si>
    <t>ผลการประเมินระดับกองพัน (มอบรางวัล)</t>
  </si>
  <si>
    <t>กองพัน</t>
  </si>
  <si>
    <t>อันดับ 2</t>
  </si>
  <si>
    <t>อันดับ 4</t>
  </si>
  <si>
    <t>ความรู้ (10)</t>
  </si>
  <si>
    <t>ร่างกาย (20)</t>
  </si>
  <si>
    <t>พัน ฝ.1</t>
  </si>
  <si>
    <t>ร้อย ฝ.1</t>
  </si>
  <si>
    <t>ร้อย ฝ.2</t>
  </si>
  <si>
    <t>ร้อย ฝ.3</t>
  </si>
  <si>
    <t>ร้อย ฝ.4</t>
  </si>
  <si>
    <t>ร้อย ฝ.5</t>
  </si>
  <si>
    <t>พัน ฝ.2</t>
  </si>
  <si>
    <t>พัน ฝ.3</t>
  </si>
  <si>
    <t>พัน ฝ.4</t>
  </si>
  <si>
    <t>วิชาทหารราบ (50)</t>
  </si>
  <si>
    <t>การสวนสนาม (30)</t>
  </si>
  <si>
    <t xml:space="preserve">         ระเบียบข้อบังคับ       (2๐ คะแนน)</t>
  </si>
  <si>
    <t>ทฤษฎี 40</t>
  </si>
  <si>
    <t>กรรเชียง+เชือก+ปคส. 60</t>
  </si>
  <si>
    <t>ภาคปฏิบัติ (8๐ คะแนน)</t>
  </si>
  <si>
    <t>ข้อบังคับ 20</t>
  </si>
  <si>
    <t>ทหาราบ 30</t>
  </si>
  <si>
    <t>อันดับ ๒</t>
  </si>
  <si>
    <t>อันดับ ๓</t>
  </si>
  <si>
    <t>อันดับ ๔</t>
  </si>
  <si>
    <t>ตรวจถูกต้อง</t>
  </si>
  <si>
    <t>อันดับ 3</t>
  </si>
  <si>
    <t>คะแนนวินัย 100</t>
  </si>
  <si>
    <t>สวนสนาม (50)</t>
  </si>
  <si>
    <t>ทหารราบ(30)</t>
  </si>
  <si>
    <t>ทหารราบ 100</t>
  </si>
  <si>
    <t>สวนสนาม</t>
  </si>
  <si>
    <t>รวม 50</t>
  </si>
  <si>
    <t>คิดเป็นร้อยละ</t>
  </si>
  <si>
    <t>น.อ.</t>
  </si>
  <si>
    <t xml:space="preserve">   (ฐิติวัชร  ภัทรเกียรติวงศ์)</t>
  </si>
  <si>
    <t xml:space="preserve">        รอง ผบ.ศฝท.ฯ</t>
  </si>
  <si>
    <t>(ฐิติวัชร  ภัทรเกียรติวงศ์)</t>
  </si>
  <si>
    <t>รอง ผบ.ศฝท.ฯ</t>
  </si>
  <si>
    <t>ธ.ค.๖๗</t>
  </si>
  <si>
    <t xml:space="preserve">         รอง ผบ.ศฝท.ฯ</t>
  </si>
  <si>
    <t xml:space="preserve">         ตรวจถูกต้อง</t>
  </si>
  <si>
    <t>กระเชียง 100</t>
  </si>
  <si>
    <t>เชือก 100</t>
  </si>
  <si>
    <t>ปคส. 100</t>
  </si>
  <si>
    <t>ความรู้</t>
  </si>
  <si>
    <t xml:space="preserve">   วินัย </t>
  </si>
  <si>
    <t>ร่างกาย</t>
  </si>
  <si>
    <t>คุณธรรม</t>
  </si>
  <si>
    <t>รวม (๑๐๐)</t>
  </si>
  <si>
    <t>พัน ฝ.๑</t>
  </si>
  <si>
    <t>ร้อย ฝ.๑</t>
  </si>
  <si>
    <t>ร้อย ฝ.๒</t>
  </si>
  <si>
    <t>ร้อย ฝ.๓</t>
  </si>
  <si>
    <t>ร้อย ฝ.๔</t>
  </si>
  <si>
    <t>ร้อย ฝ.๕</t>
  </si>
  <si>
    <t>พัน ฝ.๒</t>
  </si>
  <si>
    <t>พัน ฝ.๓</t>
  </si>
  <si>
    <t>พัน ฝ.๔</t>
  </si>
  <si>
    <t>คะแนนเฉลี่ย (ร้อยละ)</t>
  </si>
  <si>
    <t xml:space="preserve">            ด้านความรู้           (3๐)</t>
  </si>
  <si>
    <t>ด้านคุณธรรม จริยธรรม ทัศนคติ สังคม (1๐)</t>
  </si>
  <si>
    <t>100 คะแนน</t>
  </si>
  <si>
    <t xml:space="preserve">  คุณธรรม จริยธรรม    (๒๐ คะแนน)</t>
  </si>
  <si>
    <t xml:space="preserve">      คิดเป็นร้อยละ</t>
  </si>
  <si>
    <t>คะแนนรวมเฉลี่ย         (๑๐๐ คะแนน)</t>
  </si>
  <si>
    <t xml:space="preserve">คะแนนรวมเฉลี่ย  </t>
  </si>
  <si>
    <t>คิดเป็น 20 คะแนน</t>
  </si>
  <si>
    <t>พัน.1</t>
  </si>
  <si>
    <t>ลำดับ</t>
  </si>
  <si>
    <t>กองร้อย</t>
  </si>
  <si>
    <t>ร้อย.1</t>
  </si>
  <si>
    <t>ร้อย.2</t>
  </si>
  <si>
    <t>ร้อย.3</t>
  </si>
  <si>
    <t>ร้อย.4</t>
  </si>
  <si>
    <t>ร้อย.5</t>
  </si>
  <si>
    <t>คะแนนรวม (100)</t>
  </si>
  <si>
    <t>ลำดับที่</t>
  </si>
  <si>
    <t>พัน.2</t>
  </si>
  <si>
    <t>พัน.3</t>
  </si>
  <si>
    <t>พัน.4</t>
  </si>
  <si>
    <t>คะแนนเฉลี่ยร้อยละ</t>
  </si>
  <si>
    <t xml:space="preserve">    วินัย     (50)</t>
  </si>
  <si>
    <t>ร่างกาย    (20)</t>
  </si>
  <si>
    <t xml:space="preserve">   คุณธรรม    (20)</t>
  </si>
  <si>
    <t xml:space="preserve">     รวม       (100)</t>
  </si>
  <si>
    <t xml:space="preserve">            ด้านความรู้           (10)</t>
  </si>
  <si>
    <t>อันดับ</t>
  </si>
  <si>
    <t>คะแนนรวม  (๑๐๐ คะแนน)</t>
  </si>
  <si>
    <t xml:space="preserve">       น.อ.</t>
  </si>
  <si>
    <t xml:space="preserve">          ตรวจถูกต้อง</t>
  </si>
  <si>
    <t>60 คะแนน</t>
  </si>
  <si>
    <t xml:space="preserve">       (ฐิติวัชร  ภัทรเกียรติวงศ์)</t>
  </si>
  <si>
    <t>10 คะแนน</t>
  </si>
  <si>
    <t xml:space="preserve">อันดับ 1 </t>
  </si>
  <si>
    <t>ระเบียบ  20</t>
  </si>
  <si>
    <t>ทหารราบ  80</t>
  </si>
  <si>
    <t xml:space="preserve">               ก.ย.๖๘</t>
  </si>
  <si>
    <t xml:space="preserve">                        อันดับ 2                        </t>
  </si>
  <si>
    <t>ก.ย.๖๘</t>
  </si>
  <si>
    <t xml:space="preserve">                  ก.ย.๖๘</t>
  </si>
  <si>
    <t>ระเบียบข้อบังคับ (20 คะแนน)</t>
  </si>
  <si>
    <t>คะแนนรวม (๑๐๐ คะแนน)</t>
  </si>
  <si>
    <t>วินัย  20</t>
  </si>
  <si>
    <t>ภาคปฏิบัติ 
 (๖0 คะแนน)</t>
  </si>
  <si>
    <t>ภาคทฤษฎี 
(๔๐ คะแนน)</t>
  </si>
  <si>
    <t>คะแนนเฉลี่ย
ร้อยละ</t>
  </si>
  <si>
    <t>ความรู้ 
(๒0)</t>
  </si>
  <si>
    <t>วินัย 
(๖0)</t>
  </si>
  <si>
    <t xml:space="preserve">              ก.ย.๖๘</t>
  </si>
  <si>
    <t>(ฐิติวัชร  ภัทนเกียรติวงศ์)</t>
  </si>
  <si>
    <t xml:space="preserve">   ก.ย.๖๘</t>
  </si>
  <si>
    <t xml:space="preserve">          </t>
  </si>
  <si>
    <t xml:space="preserve">  ด้านวินัย 
(5๐) </t>
  </si>
  <si>
    <t>พลทหารหรรษทร  สวนแก้ว</t>
  </si>
  <si>
    <t>พลทหารอาฟีฟ  อารง</t>
  </si>
  <si>
    <t>พลทหารซัมรี  ดีสะเอะ</t>
  </si>
  <si>
    <t>พลหทารธีรภัทร  บ่อแก้ว</t>
  </si>
  <si>
    <t>พลทหารบาดาวี  หนูหนุด</t>
  </si>
  <si>
    <t>พลทหารศฐา  บุญรอด</t>
  </si>
  <si>
    <t>พลทหารฮัมรัง  หมีนเส็น</t>
  </si>
  <si>
    <t>พลทหารดนัย  ขาวผ้วน</t>
  </si>
  <si>
    <t>พลทหารธีรศักดิ์  ชัยเพชร</t>
  </si>
  <si>
    <t>พลทหารเกรียงไกร  แก้วมาศ</t>
  </si>
  <si>
    <t>พลทหารบารอกัต  อุหมัด</t>
  </si>
  <si>
    <t>พลทหารกิตติ  รัตนวัน</t>
  </si>
  <si>
    <t>พลทหารธนวัฒน์  จันเหลือง</t>
  </si>
  <si>
    <t>พลทหารดนุนัย  ศิริลัย</t>
  </si>
  <si>
    <t>พลทหารวารินทร์  จันทภา</t>
  </si>
  <si>
    <t>พลทหารศักดิ์ชาย  เพชรช่วย</t>
  </si>
  <si>
    <t>พลทหารศรายุธ  เจริญ</t>
  </si>
  <si>
    <t>พลทหารชัยชัย  วัฒนสุภานนท์</t>
  </si>
  <si>
    <t>พลทหารชโยดม  ก้านน้อย</t>
  </si>
  <si>
    <t>พลทหารอิรฟาน  อินทกร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</si>
</sst>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[$-D00041E]0.##"/>
    <numFmt numFmtId="188" formatCode="[$-D00041E]0"/>
    <numFmt numFmtId="189" formatCode="[$-D00041E]0.00"/>
  </numFmts>
  <fonts count="28" x14ac:knownFonts="1">
    <font>
      <sz val="16"/>
      <color theme="1"/>
      <name val="TH SarabunPSK"/>
      <family val="2"/>
    </font>
    <font>
      <sz val="8"/>
      <name val="TH SarabunPSK"/>
      <family val="2"/>
    </font>
    <font>
      <sz val="16"/>
      <color theme="1"/>
      <name val="TH SarabunIT๙"/>
      <family val="2"/>
    </font>
    <font>
      <b/>
      <sz val="16"/>
      <color theme="1"/>
      <name val="TH SarabunIT๙"/>
      <family val="2"/>
    </font>
    <font>
      <sz val="14"/>
      <color theme="1"/>
      <name val="TH SarabunIT๙"/>
      <family val="2"/>
    </font>
    <font>
      <b/>
      <sz val="14"/>
      <color theme="1"/>
      <name val="TH SarabunIT๙"/>
      <family val="2"/>
    </font>
    <font>
      <b/>
      <sz val="16"/>
      <color rgb="FFFF0000"/>
      <name val="TH SarabunIT๙"/>
      <family val="2"/>
    </font>
    <font>
      <sz val="14"/>
      <color rgb="FF212529"/>
      <name val="TH SarabunIT๙"/>
      <family val="2"/>
    </font>
    <font>
      <sz val="10"/>
      <color rgb="FF000000"/>
      <name val="Tahoma"/>
      <family val="2"/>
      <scheme val="minor"/>
    </font>
    <font>
      <b/>
      <sz val="16"/>
      <name val="TH SarabunPSK"/>
      <family val="2"/>
    </font>
    <font>
      <b/>
      <sz val="16"/>
      <color theme="1"/>
      <name val="TH SarabunIT๙"/>
      <family val="2"/>
      <charset val="222"/>
    </font>
    <font>
      <b/>
      <sz val="16"/>
      <color theme="1"/>
      <name val="TH SarabunPSK"/>
      <family val="2"/>
      <charset val="222"/>
    </font>
    <font>
      <sz val="16"/>
      <color theme="0"/>
      <name val="TH SarabunIT๙"/>
      <family val="2"/>
    </font>
    <font>
      <b/>
      <sz val="16"/>
      <color theme="1"/>
      <name val="TH SarabunPSK"/>
      <family val="2"/>
    </font>
    <font>
      <sz val="16"/>
      <color rgb="FFFF0000"/>
      <name val="TH SarabunPSK"/>
      <family val="2"/>
    </font>
    <font>
      <b/>
      <sz val="16"/>
      <name val="TH SarabunIT๙"/>
      <family val="2"/>
    </font>
    <font>
      <sz val="16"/>
      <name val="TH SarabunIT๙"/>
      <family val="2"/>
    </font>
    <font>
      <sz val="14"/>
      <name val="TH SarabunIT๙"/>
      <family val="2"/>
    </font>
    <font>
      <b/>
      <sz val="14"/>
      <name val="TH SarabunIT๙"/>
      <family val="2"/>
    </font>
    <font>
      <sz val="16"/>
      <color theme="1"/>
      <name val="TH SarabunPSK"/>
      <family val="2"/>
    </font>
    <font>
      <sz val="14"/>
      <color theme="1"/>
      <name val="TH SarabunPSK"/>
      <family val="2"/>
    </font>
    <font>
      <b/>
      <sz val="14"/>
      <color theme="1"/>
      <name val="TH SarabunPSK"/>
      <family val="2"/>
    </font>
    <font>
      <b/>
      <sz val="14"/>
      <name val="TH SarabunPSK"/>
      <family val="2"/>
    </font>
    <font>
      <b/>
      <sz val="14"/>
      <color rgb="FFFF0000"/>
      <name val="TH SarabunIT๙"/>
      <family val="2"/>
    </font>
    <font>
      <sz val="16"/>
      <color rgb="FF000000"/>
      <name val="TH SarabunIT๙"/>
      <family val="2"/>
    </font>
    <font>
      <sz val="14"/>
      <color rgb="FF000000"/>
      <name val="TH SarabunIT๙"/>
      <family val="2"/>
    </font>
    <font>
      <sz val="14"/>
      <color theme="1"/>
      <name val="TH SarabunIT๙"/>
      <family val="2"/>
      <charset val="222"/>
    </font>
    <font>
      <sz val="14"/>
      <color theme="1"/>
      <name val="TH SarabunPSK"/>
      <family val="2"/>
      <charset val="22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8" fillId="0" borderId="0"/>
    <xf numFmtId="43" fontId="19" fillId="0" borderId="0" applyFont="0" applyFill="0" applyBorder="0" applyAlignment="0" applyProtection="0"/>
  </cellStyleXfs>
  <cellXfs count="24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89" fontId="2" fillId="0" borderId="1" xfId="0" applyNumberFormat="1" applyFont="1" applyBorder="1" applyAlignment="1">
      <alignment horizontal="center"/>
    </xf>
    <xf numFmtId="187" fontId="2" fillId="0" borderId="1" xfId="0" applyNumberFormat="1" applyFont="1" applyBorder="1" applyAlignment="1">
      <alignment horizontal="center"/>
    </xf>
    <xf numFmtId="188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0" fillId="0" borderId="0" xfId="0" applyNumberFormat="1"/>
    <xf numFmtId="2" fontId="2" fillId="0" borderId="1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2" fontId="2" fillId="0" borderId="0" xfId="0" applyNumberFormat="1" applyFont="1"/>
    <xf numFmtId="2" fontId="2" fillId="0" borderId="0" xfId="0" applyNumberFormat="1" applyFont="1" applyAlignment="1">
      <alignment horizontal="center"/>
    </xf>
    <xf numFmtId="2" fontId="2" fillId="0" borderId="6" xfId="0" applyNumberFormat="1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12" fillId="0" borderId="0" xfId="0" applyNumberFormat="1" applyFont="1"/>
    <xf numFmtId="0" fontId="12" fillId="0" borderId="0" xfId="0" applyFont="1"/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2" fontId="0" fillId="0" borderId="0" xfId="0" applyNumberFormat="1" applyAlignment="1">
      <alignment horizontal="center"/>
    </xf>
    <xf numFmtId="1" fontId="0" fillId="0" borderId="0" xfId="0" applyNumberFormat="1"/>
    <xf numFmtId="1" fontId="13" fillId="0" borderId="0" xfId="0" applyNumberFormat="1" applyFont="1"/>
    <xf numFmtId="1" fontId="14" fillId="0" borderId="0" xfId="0" applyNumberFormat="1" applyFont="1"/>
    <xf numFmtId="2" fontId="16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1" fontId="0" fillId="0" borderId="0" xfId="0" applyNumberFormat="1" applyAlignment="1">
      <alignment horizontal="center"/>
    </xf>
    <xf numFmtId="188" fontId="2" fillId="0" borderId="2" xfId="0" applyNumberFormat="1" applyFont="1" applyBorder="1" applyAlignment="1">
      <alignment horizontal="center"/>
    </xf>
    <xf numFmtId="2" fontId="13" fillId="0" borderId="0" xfId="0" applyNumberFormat="1" applyFont="1"/>
    <xf numFmtId="0" fontId="1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43" fontId="2" fillId="0" borderId="1" xfId="2" applyFont="1" applyBorder="1" applyAlignment="1">
      <alignment horizontal="center" vertical="center" wrapText="1"/>
    </xf>
    <xf numFmtId="43" fontId="0" fillId="0" borderId="0" xfId="2" applyFont="1"/>
    <xf numFmtId="189" fontId="16" fillId="0" borderId="1" xfId="0" applyNumberFormat="1" applyFont="1" applyBorder="1" applyAlignment="1">
      <alignment horizontal="center"/>
    </xf>
    <xf numFmtId="2" fontId="2" fillId="0" borderId="1" xfId="2" applyNumberFormat="1" applyFont="1" applyBorder="1" applyAlignment="1">
      <alignment horizontal="center" vertical="center"/>
    </xf>
    <xf numFmtId="2" fontId="2" fillId="0" borderId="1" xfId="2" applyNumberFormat="1" applyFont="1" applyBorder="1" applyAlignment="1">
      <alignment horizontal="center"/>
    </xf>
    <xf numFmtId="188" fontId="16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right"/>
    </xf>
    <xf numFmtId="2" fontId="14" fillId="0" borderId="0" xfId="0" applyNumberFormat="1" applyFont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49" fontId="0" fillId="0" borderId="1" xfId="0" applyNumberFormat="1" applyBorder="1"/>
    <xf numFmtId="2" fontId="0" fillId="0" borderId="1" xfId="0" applyNumberFormat="1" applyBorder="1"/>
    <xf numFmtId="2" fontId="22" fillId="0" borderId="0" xfId="0" applyNumberFormat="1" applyFont="1"/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3" fontId="0" fillId="0" borderId="0" xfId="2" applyFont="1" applyBorder="1"/>
    <xf numFmtId="188" fontId="2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5" fillId="0" borderId="1" xfId="0" applyFont="1" applyBorder="1" applyAlignment="1">
      <alignment horizontal="center" vertical="top" wrapText="1"/>
    </xf>
    <xf numFmtId="2" fontId="15" fillId="0" borderId="1" xfId="0" applyNumberFormat="1" applyFont="1" applyBorder="1" applyAlignment="1">
      <alignment horizontal="center" vertical="top" wrapText="1"/>
    </xf>
    <xf numFmtId="0" fontId="4" fillId="0" borderId="3" xfId="0" applyFont="1" applyBorder="1"/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/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/>
    <xf numFmtId="2" fontId="4" fillId="0" borderId="3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2" fontId="17" fillId="0" borderId="13" xfId="0" applyNumberFormat="1" applyFont="1" applyBorder="1" applyAlignment="1">
      <alignment horizontal="center" vertical="center"/>
    </xf>
    <xf numFmtId="2" fontId="17" fillId="0" borderId="13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 wrapText="1"/>
    </xf>
    <xf numFmtId="2" fontId="17" fillId="0" borderId="4" xfId="0" applyNumberFormat="1" applyFont="1" applyBorder="1" applyAlignment="1">
      <alignment horizontal="center" vertical="center"/>
    </xf>
    <xf numFmtId="2" fontId="17" fillId="0" borderId="4" xfId="0" applyNumberFormat="1" applyFont="1" applyBorder="1" applyAlignment="1">
      <alignment horizontal="center"/>
    </xf>
    <xf numFmtId="2" fontId="4" fillId="0" borderId="4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2" fontId="17" fillId="0" borderId="14" xfId="0" applyNumberFormat="1" applyFont="1" applyBorder="1" applyAlignment="1">
      <alignment horizontal="center" vertical="center"/>
    </xf>
    <xf numFmtId="2" fontId="17" fillId="0" borderId="14" xfId="0" applyNumberFormat="1" applyFont="1" applyBorder="1" applyAlignment="1">
      <alignment horizontal="center"/>
    </xf>
    <xf numFmtId="2" fontId="4" fillId="0" borderId="14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" fillId="0" borderId="10" xfId="0" applyFont="1" applyBorder="1"/>
    <xf numFmtId="0" fontId="4" fillId="0" borderId="17" xfId="0" applyFont="1" applyBorder="1"/>
    <xf numFmtId="2" fontId="2" fillId="0" borderId="1" xfId="0" applyNumberFormat="1" applyFont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2" fontId="24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/>
    <xf numFmtId="0" fontId="2" fillId="0" borderId="13" xfId="0" applyFont="1" applyBorder="1"/>
    <xf numFmtId="2" fontId="2" fillId="0" borderId="13" xfId="0" applyNumberFormat="1" applyFont="1" applyBorder="1" applyAlignment="1">
      <alignment horizontal="center"/>
    </xf>
    <xf numFmtId="0" fontId="2" fillId="0" borderId="14" xfId="0" applyFont="1" applyBorder="1"/>
    <xf numFmtId="2" fontId="2" fillId="0" borderId="14" xfId="0" applyNumberFormat="1" applyFont="1" applyBorder="1" applyAlignment="1">
      <alignment horizontal="center"/>
    </xf>
    <xf numFmtId="0" fontId="2" fillId="0" borderId="19" xfId="0" applyFont="1" applyBorder="1"/>
    <xf numFmtId="0" fontId="2" fillId="0" borderId="16" xfId="0" applyFont="1" applyBorder="1"/>
    <xf numFmtId="0" fontId="2" fillId="0" borderId="9" xfId="0" applyFont="1" applyBorder="1"/>
    <xf numFmtId="189" fontId="2" fillId="0" borderId="4" xfId="0" applyNumberFormat="1" applyFont="1" applyBorder="1" applyAlignment="1">
      <alignment horizontal="center"/>
    </xf>
    <xf numFmtId="189" fontId="2" fillId="0" borderId="3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89" fontId="2" fillId="0" borderId="13" xfId="0" applyNumberFormat="1" applyFont="1" applyBorder="1" applyAlignment="1">
      <alignment horizontal="center"/>
    </xf>
    <xf numFmtId="189" fontId="2" fillId="0" borderId="14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189" fontId="2" fillId="0" borderId="18" xfId="0" applyNumberFormat="1" applyFont="1" applyBorder="1" applyAlignment="1">
      <alignment horizontal="center"/>
    </xf>
    <xf numFmtId="189" fontId="2" fillId="0" borderId="21" xfId="0" applyNumberFormat="1" applyFont="1" applyBorder="1" applyAlignment="1">
      <alignment horizontal="center"/>
    </xf>
    <xf numFmtId="2" fontId="17" fillId="0" borderId="21" xfId="0" applyNumberFormat="1" applyFont="1" applyBorder="1" applyAlignment="1">
      <alignment horizontal="center" vertical="center"/>
    </xf>
    <xf numFmtId="2" fontId="17" fillId="0" borderId="17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188" fontId="2" fillId="0" borderId="0" xfId="0" applyNumberFormat="1" applyFont="1" applyAlignment="1">
      <alignment horizontal="center" vertical="center"/>
    </xf>
    <xf numFmtId="189" fontId="2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2" fontId="17" fillId="0" borderId="21" xfId="0" applyNumberFormat="1" applyFont="1" applyBorder="1" applyAlignment="1">
      <alignment horizontal="center"/>
    </xf>
    <xf numFmtId="2" fontId="17" fillId="0" borderId="2" xfId="0" applyNumberFormat="1" applyFont="1" applyBorder="1" applyAlignment="1">
      <alignment horizontal="center"/>
    </xf>
    <xf numFmtId="2" fontId="17" fillId="0" borderId="3" xfId="0" applyNumberFormat="1" applyFont="1" applyBorder="1" applyAlignment="1">
      <alignment horizontal="center"/>
    </xf>
    <xf numFmtId="2" fontId="17" fillId="0" borderId="18" xfId="0" applyNumberFormat="1" applyFont="1" applyBorder="1" applyAlignment="1">
      <alignment horizontal="center"/>
    </xf>
    <xf numFmtId="2" fontId="4" fillId="0" borderId="23" xfId="0" applyNumberFormat="1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 wrapText="1"/>
    </xf>
    <xf numFmtId="0" fontId="7" fillId="2" borderId="0" xfId="0" applyFont="1" applyFill="1" applyAlignment="1">
      <alignment horizontal="left" vertical="top"/>
    </xf>
    <xf numFmtId="0" fontId="7" fillId="2" borderId="0" xfId="0" applyFont="1" applyFill="1" applyAlignment="1">
      <alignment horizontal="left" vertical="top" wrapText="1"/>
    </xf>
    <xf numFmtId="0" fontId="2" fillId="0" borderId="24" xfId="0" applyFont="1" applyBorder="1"/>
    <xf numFmtId="0" fontId="5" fillId="0" borderId="22" xfId="0" applyFont="1" applyBorder="1" applyAlignment="1">
      <alignment vertical="top"/>
    </xf>
    <xf numFmtId="2" fontId="20" fillId="0" borderId="22" xfId="0" applyNumberFormat="1" applyFont="1" applyBorder="1" applyAlignment="1">
      <alignment horizontal="center"/>
    </xf>
    <xf numFmtId="0" fontId="2" fillId="0" borderId="22" xfId="0" applyFont="1" applyBorder="1"/>
    <xf numFmtId="0" fontId="19" fillId="0" borderId="22" xfId="0" applyFont="1" applyBorder="1" applyAlignment="1">
      <alignment horizontal="center" vertical="center"/>
    </xf>
    <xf numFmtId="2" fontId="2" fillId="0" borderId="11" xfId="0" applyNumberFormat="1" applyFont="1" applyBorder="1"/>
    <xf numFmtId="0" fontId="2" fillId="0" borderId="22" xfId="0" applyFont="1" applyBorder="1" applyAlignment="1">
      <alignment horizontal="center" vertical="top"/>
    </xf>
    <xf numFmtId="0" fontId="3" fillId="0" borderId="22" xfId="0" applyFont="1" applyBorder="1" applyAlignment="1">
      <alignment vertical="center"/>
    </xf>
    <xf numFmtId="2" fontId="20" fillId="0" borderId="26" xfId="0" applyNumberFormat="1" applyFont="1" applyBorder="1" applyAlignment="1">
      <alignment horizontal="center"/>
    </xf>
    <xf numFmtId="0" fontId="2" fillId="0" borderId="25" xfId="0" applyFont="1" applyBorder="1"/>
    <xf numFmtId="2" fontId="2" fillId="0" borderId="27" xfId="0" applyNumberFormat="1" applyFont="1" applyBorder="1"/>
    <xf numFmtId="0" fontId="2" fillId="0" borderId="0" xfId="0" applyFont="1" applyAlignment="1">
      <alignment wrapText="1"/>
    </xf>
    <xf numFmtId="0" fontId="25" fillId="2" borderId="28" xfId="0" applyFont="1" applyFill="1" applyBorder="1" applyAlignment="1">
      <alignment horizontal="center" vertical="center" wrapText="1"/>
    </xf>
    <xf numFmtId="0" fontId="24" fillId="2" borderId="28" xfId="0" applyFont="1" applyFill="1" applyBorder="1" applyAlignment="1">
      <alignment horizontal="center" vertical="center" wrapText="1"/>
    </xf>
    <xf numFmtId="0" fontId="26" fillId="0" borderId="1" xfId="0" applyFont="1" applyBorder="1"/>
    <xf numFmtId="0" fontId="26" fillId="0" borderId="0" xfId="0" applyFont="1"/>
    <xf numFmtId="0" fontId="27" fillId="0" borderId="1" xfId="0" applyFont="1" applyBorder="1"/>
    <xf numFmtId="0" fontId="18" fillId="0" borderId="21" xfId="0" applyFont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49" fontId="0" fillId="0" borderId="0" xfId="0" applyNumberFormat="1" applyAlignment="1">
      <alignment horizontal="center"/>
    </xf>
    <xf numFmtId="188" fontId="2" fillId="0" borderId="20" xfId="0" applyNumberFormat="1" applyFont="1" applyBorder="1" applyAlignment="1">
      <alignment horizontal="center" vertical="center"/>
    </xf>
    <xf numFmtId="188" fontId="2" fillId="0" borderId="1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2" fontId="11" fillId="0" borderId="2" xfId="0" applyNumberFormat="1" applyFont="1" applyBorder="1" applyAlignment="1">
      <alignment horizontal="center" vertical="center" wrapText="1"/>
    </xf>
    <xf numFmtId="2" fontId="11" fillId="0" borderId="3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2" fontId="13" fillId="0" borderId="2" xfId="0" applyNumberFormat="1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2" fontId="13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0" fontId="3" fillId="0" borderId="1" xfId="0" applyFont="1" applyBorder="1" applyAlignment="1">
      <alignment horizontal="center" vertical="center"/>
    </xf>
    <xf numFmtId="2" fontId="0" fillId="0" borderId="8" xfId="0" applyNumberForma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wrapText="1"/>
    </xf>
    <xf numFmtId="0" fontId="11" fillId="0" borderId="1" xfId="0" applyFont="1" applyBorder="1" applyAlignment="1">
      <alignment horizontal="center" vertical="center"/>
    </xf>
    <xf numFmtId="2" fontId="16" fillId="0" borderId="2" xfId="0" applyNumberFormat="1" applyFont="1" applyBorder="1" applyAlignment="1">
      <alignment horizontal="center" vertical="center"/>
    </xf>
    <xf numFmtId="2" fontId="16" fillId="0" borderId="4" xfId="0" applyNumberFormat="1" applyFont="1" applyBorder="1" applyAlignment="1">
      <alignment horizontal="center" vertical="center"/>
    </xf>
    <xf numFmtId="2" fontId="16" fillId="0" borderId="3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188" fontId="2" fillId="0" borderId="2" xfId="0" applyNumberFormat="1" applyFont="1" applyBorder="1" applyAlignment="1">
      <alignment horizontal="center" vertical="center"/>
    </xf>
    <xf numFmtId="188" fontId="2" fillId="0" borderId="4" xfId="0" applyNumberFormat="1" applyFont="1" applyBorder="1" applyAlignment="1">
      <alignment horizontal="center" vertical="center"/>
    </xf>
    <xf numFmtId="188" fontId="2" fillId="0" borderId="3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2" fillId="0" borderId="11" xfId="0" applyFont="1" applyBorder="1" applyAlignment="1">
      <alignment horizontal="left"/>
    </xf>
    <xf numFmtId="0" fontId="24" fillId="2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/>
    </xf>
  </cellXfs>
  <cellStyles count="3">
    <cellStyle name="Normal 2" xfId="1" xr:uid="{0D7F04EC-CDF0-4338-9788-2444666061EA}"/>
    <cellStyle name="จุลภาค" xfId="2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086AF-A0E1-40C7-B1AA-AAE6DF223F01}">
  <dimension ref="A1:V39"/>
  <sheetViews>
    <sheetView view="pageLayout" zoomScaleNormal="100" workbookViewId="0">
      <selection activeCell="J11" sqref="J11:K11"/>
    </sheetView>
  </sheetViews>
  <sheetFormatPr defaultColWidth="8.796875" defaultRowHeight="21" x14ac:dyDescent="0.4"/>
  <cols>
    <col min="1" max="1" width="12.09765625" style="1" customWidth="1"/>
    <col min="2" max="2" width="10.19921875" style="17" customWidth="1"/>
    <col min="3" max="3" width="10.69921875" style="1" customWidth="1"/>
    <col min="4" max="4" width="8.296875" style="1" customWidth="1"/>
    <col min="5" max="5" width="9.796875" style="1" customWidth="1"/>
    <col min="6" max="6" width="9.5" style="1" customWidth="1"/>
    <col min="7" max="7" width="8.09765625" style="1" customWidth="1"/>
    <col min="8" max="8" width="9.796875" style="1" customWidth="1"/>
    <col min="9" max="9" width="10.69921875" style="1" customWidth="1"/>
    <col min="10" max="10" width="11.69921875" style="1" customWidth="1"/>
    <col min="11" max="11" width="18" style="1" customWidth="1"/>
    <col min="12" max="12" width="20" style="17" customWidth="1"/>
    <col min="13" max="13" width="16" style="1" customWidth="1"/>
    <col min="14" max="14" width="14.19921875" style="1" customWidth="1"/>
    <col min="15" max="20" width="8.796875" style="1"/>
    <col min="21" max="21" width="11.5" style="1" customWidth="1"/>
    <col min="22" max="22" width="10.69921875" style="1" customWidth="1"/>
    <col min="23" max="16384" width="8.796875" style="1"/>
  </cols>
  <sheetData>
    <row r="1" spans="1:22" x14ac:dyDescent="0.4">
      <c r="A1" s="159" t="s">
        <v>0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</row>
    <row r="2" spans="1:22" ht="43.95" customHeight="1" x14ac:dyDescent="0.4">
      <c r="A2" s="155" t="s">
        <v>14</v>
      </c>
      <c r="B2" s="160" t="s">
        <v>123</v>
      </c>
      <c r="C2" s="160"/>
      <c r="D2" s="160" t="s">
        <v>150</v>
      </c>
      <c r="E2" s="160"/>
      <c r="F2" s="160" t="s">
        <v>1</v>
      </c>
      <c r="G2" s="160"/>
      <c r="H2" s="161" t="s">
        <v>2</v>
      </c>
      <c r="I2" s="161"/>
      <c r="J2" s="157" t="s">
        <v>11</v>
      </c>
      <c r="K2" s="155" t="s">
        <v>13</v>
      </c>
      <c r="M2" s="1" t="s">
        <v>54</v>
      </c>
      <c r="N2" s="2" t="s">
        <v>55</v>
      </c>
      <c r="P2" s="1">
        <v>1</v>
      </c>
      <c r="Q2" s="1">
        <v>2</v>
      </c>
      <c r="R2" s="1">
        <v>3</v>
      </c>
      <c r="S2" s="1">
        <v>4</v>
      </c>
      <c r="T2" s="1">
        <v>5</v>
      </c>
      <c r="U2" s="1" t="s">
        <v>57</v>
      </c>
      <c r="V2" s="1" t="s">
        <v>58</v>
      </c>
    </row>
    <row r="3" spans="1:22" x14ac:dyDescent="0.4">
      <c r="A3" s="156"/>
      <c r="B3" s="4" t="s">
        <v>10</v>
      </c>
      <c r="C3" s="3" t="s">
        <v>9</v>
      </c>
      <c r="D3" s="3" t="s">
        <v>8</v>
      </c>
      <c r="E3" s="3" t="s">
        <v>9</v>
      </c>
      <c r="F3" s="3" t="s">
        <v>8</v>
      </c>
      <c r="G3" s="3" t="s">
        <v>9</v>
      </c>
      <c r="H3" s="3" t="s">
        <v>8</v>
      </c>
      <c r="I3" s="3" t="s">
        <v>9</v>
      </c>
      <c r="J3" s="158"/>
      <c r="K3" s="156"/>
      <c r="M3" s="1">
        <v>39.6</v>
      </c>
      <c r="N3" s="1">
        <v>56.8</v>
      </c>
      <c r="O3">
        <f>N3/2</f>
        <v>28.4</v>
      </c>
      <c r="U3" s="17">
        <v>19.36</v>
      </c>
      <c r="V3" s="17">
        <f>(X3*30)/100</f>
        <v>0</v>
      </c>
    </row>
    <row r="4" spans="1:22" x14ac:dyDescent="0.4">
      <c r="A4" s="3" t="s">
        <v>4</v>
      </c>
      <c r="B4" s="4">
        <f>C4/10</f>
        <v>8.8469999999999995</v>
      </c>
      <c r="C4" s="4">
        <v>88.47</v>
      </c>
      <c r="D4" s="47">
        <f>(E4*50)/100</f>
        <v>47.5</v>
      </c>
      <c r="E4" s="47">
        <v>95</v>
      </c>
      <c r="F4" s="33">
        <f>G4/5</f>
        <v>15.197999999999999</v>
      </c>
      <c r="G4" s="33">
        <v>75.989999999999995</v>
      </c>
      <c r="H4" s="5">
        <f>I4/5</f>
        <v>17.399999999999999</v>
      </c>
      <c r="I4" s="33">
        <v>87</v>
      </c>
      <c r="J4" s="4">
        <f>B4+D4+F4+H4</f>
        <v>88.944999999999993</v>
      </c>
      <c r="K4" s="39" t="s">
        <v>59</v>
      </c>
      <c r="M4" s="1">
        <v>38.6</v>
      </c>
      <c r="N4" s="1">
        <v>56.52</v>
      </c>
      <c r="O4">
        <f t="shared" ref="O4:O7" si="0">N4/2</f>
        <v>28.26</v>
      </c>
      <c r="U4" s="17">
        <v>18.77</v>
      </c>
      <c r="V4" s="17">
        <f t="shared" ref="V4:V7" si="1">(X4*30)/100</f>
        <v>0</v>
      </c>
    </row>
    <row r="5" spans="1:22" x14ac:dyDescent="0.4">
      <c r="A5" s="3" t="s">
        <v>5</v>
      </c>
      <c r="B5" s="4">
        <f t="shared" ref="B5:B7" si="2">C5/10</f>
        <v>9.2050000000000001</v>
      </c>
      <c r="C5" s="4">
        <v>92.05</v>
      </c>
      <c r="D5" s="47">
        <f t="shared" ref="D5:D7" si="3">(E5*50)/100</f>
        <v>49.25</v>
      </c>
      <c r="E5" s="47">
        <v>98.5</v>
      </c>
      <c r="F5" s="33">
        <f t="shared" ref="F5:F7" si="4">G5/5</f>
        <v>15.046000000000001</v>
      </c>
      <c r="G5" s="33">
        <v>75.23</v>
      </c>
      <c r="H5" s="5">
        <f t="shared" ref="H5:H6" si="5">I5/5</f>
        <v>18.600000000000001</v>
      </c>
      <c r="I5" s="33">
        <v>93</v>
      </c>
      <c r="J5" s="4">
        <f t="shared" ref="J5:J7" si="6">B5+D5+F5+H5</f>
        <v>92.100999999999999</v>
      </c>
      <c r="K5" s="27" t="s">
        <v>12</v>
      </c>
      <c r="M5" s="1">
        <v>37.6</v>
      </c>
      <c r="N5" s="1">
        <v>54.26</v>
      </c>
      <c r="O5">
        <f t="shared" si="0"/>
        <v>27.13</v>
      </c>
      <c r="U5" s="17">
        <v>16.760000000000002</v>
      </c>
      <c r="V5" s="17">
        <f t="shared" si="1"/>
        <v>0</v>
      </c>
    </row>
    <row r="6" spans="1:22" x14ac:dyDescent="0.4">
      <c r="A6" s="3" t="s">
        <v>6</v>
      </c>
      <c r="B6" s="4">
        <f t="shared" si="2"/>
        <v>8.8940000000000001</v>
      </c>
      <c r="C6" s="4">
        <v>88.94</v>
      </c>
      <c r="D6" s="47">
        <f t="shared" si="3"/>
        <v>48.2</v>
      </c>
      <c r="E6" s="47">
        <v>96.4</v>
      </c>
      <c r="F6" s="33">
        <f t="shared" si="4"/>
        <v>13.506</v>
      </c>
      <c r="G6" s="33">
        <v>67.53</v>
      </c>
      <c r="H6" s="5">
        <f t="shared" si="5"/>
        <v>16.8</v>
      </c>
      <c r="I6" s="33">
        <v>84</v>
      </c>
      <c r="J6" s="4">
        <f t="shared" si="6"/>
        <v>87.399999999999991</v>
      </c>
      <c r="K6" s="3" t="s">
        <v>61</v>
      </c>
      <c r="M6" s="1">
        <v>30.9</v>
      </c>
      <c r="N6" s="1">
        <v>51.6</v>
      </c>
      <c r="O6">
        <f t="shared" si="0"/>
        <v>25.8</v>
      </c>
      <c r="U6" s="17">
        <v>16.93</v>
      </c>
      <c r="V6" s="17">
        <f t="shared" si="1"/>
        <v>0</v>
      </c>
    </row>
    <row r="7" spans="1:22" x14ac:dyDescent="0.4">
      <c r="A7" s="3" t="s">
        <v>7</v>
      </c>
      <c r="B7" s="4">
        <f t="shared" si="2"/>
        <v>8.843</v>
      </c>
      <c r="C7" s="4">
        <v>88.43</v>
      </c>
      <c r="D7" s="47">
        <f t="shared" si="3"/>
        <v>47.914999999999999</v>
      </c>
      <c r="E7" s="47">
        <v>95.83</v>
      </c>
      <c r="F7" s="33">
        <f t="shared" si="4"/>
        <v>14.824000000000002</v>
      </c>
      <c r="G7" s="33">
        <v>74.12</v>
      </c>
      <c r="H7" s="5">
        <f>I7/5</f>
        <v>16.2</v>
      </c>
      <c r="I7" s="4">
        <v>81</v>
      </c>
      <c r="J7" s="4">
        <f t="shared" si="6"/>
        <v>87.781999999999996</v>
      </c>
      <c r="K7" s="3" t="s">
        <v>60</v>
      </c>
      <c r="O7">
        <f t="shared" si="0"/>
        <v>0</v>
      </c>
      <c r="U7" s="17"/>
      <c r="V7" s="17">
        <f t="shared" si="1"/>
        <v>0</v>
      </c>
    </row>
    <row r="8" spans="1:22" x14ac:dyDescent="0.4">
      <c r="O8"/>
      <c r="P8" s="1">
        <f>SUM(P3:P6)</f>
        <v>0</v>
      </c>
      <c r="Q8" s="1">
        <f t="shared" ref="Q8:S8" si="7">SUM(Q3:Q7)</f>
        <v>0</v>
      </c>
      <c r="R8" s="1">
        <f t="shared" si="7"/>
        <v>0</v>
      </c>
      <c r="S8" s="1">
        <f t="shared" si="7"/>
        <v>0</v>
      </c>
      <c r="T8" s="1">
        <f>SUM(T3:T7)</f>
        <v>0</v>
      </c>
    </row>
    <row r="9" spans="1:22" x14ac:dyDescent="0.4">
      <c r="I9"/>
      <c r="J9" s="154" t="s">
        <v>62</v>
      </c>
      <c r="K9" s="154"/>
      <c r="O9"/>
      <c r="P9" s="17">
        <f>P8/4</f>
        <v>0</v>
      </c>
      <c r="Q9" s="17">
        <f t="shared" ref="Q9:T10" si="8">Q8/4</f>
        <v>0</v>
      </c>
      <c r="R9" s="17">
        <f t="shared" si="8"/>
        <v>0</v>
      </c>
      <c r="S9" s="17">
        <f t="shared" si="8"/>
        <v>0</v>
      </c>
      <c r="T9" s="17">
        <f t="shared" si="8"/>
        <v>0</v>
      </c>
    </row>
    <row r="10" spans="1:22" ht="30.6" customHeight="1" x14ac:dyDescent="0.4">
      <c r="J10" s="66" t="s">
        <v>71</v>
      </c>
      <c r="O10"/>
      <c r="P10" s="17">
        <f>P9/4</f>
        <v>0</v>
      </c>
      <c r="Q10" s="17">
        <f t="shared" si="8"/>
        <v>0</v>
      </c>
      <c r="R10" s="17">
        <f t="shared" si="8"/>
        <v>0</v>
      </c>
      <c r="S10" s="17">
        <f t="shared" si="8"/>
        <v>0</v>
      </c>
      <c r="T10" s="17">
        <f t="shared" si="8"/>
        <v>0</v>
      </c>
    </row>
    <row r="11" spans="1:22" x14ac:dyDescent="0.4">
      <c r="I11" s="12" t="s">
        <v>149</v>
      </c>
      <c r="J11" s="154" t="s">
        <v>74</v>
      </c>
      <c r="K11" s="154"/>
      <c r="O11"/>
    </row>
    <row r="12" spans="1:22" x14ac:dyDescent="0.4">
      <c r="I12"/>
      <c r="J12" s="154" t="s">
        <v>75</v>
      </c>
      <c r="K12" s="154"/>
      <c r="O12"/>
    </row>
    <row r="13" spans="1:22" x14ac:dyDescent="0.4">
      <c r="I13"/>
      <c r="J13" s="162" t="s">
        <v>136</v>
      </c>
      <c r="K13" s="162"/>
      <c r="O13"/>
    </row>
    <row r="14" spans="1:22" x14ac:dyDescent="0.4">
      <c r="C14" s="25">
        <f>AVERAGE(C4,C7)</f>
        <v>88.45</v>
      </c>
      <c r="D14" s="26"/>
      <c r="E14" s="26"/>
      <c r="F14" s="26"/>
      <c r="G14" s="26">
        <v>71.19</v>
      </c>
      <c r="H14" s="26"/>
      <c r="I14" s="26">
        <v>89.25</v>
      </c>
      <c r="J14" s="26"/>
      <c r="O14"/>
    </row>
    <row r="15" spans="1:22" x14ac:dyDescent="0.4">
      <c r="O15"/>
    </row>
    <row r="16" spans="1:22" x14ac:dyDescent="0.4">
      <c r="O16"/>
    </row>
    <row r="17" spans="1:15" x14ac:dyDescent="0.4">
      <c r="O17"/>
    </row>
    <row r="18" spans="1:15" x14ac:dyDescent="0.4">
      <c r="O18"/>
    </row>
    <row r="19" spans="1:15" x14ac:dyDescent="0.4">
      <c r="O19"/>
    </row>
    <row r="20" spans="1:15" x14ac:dyDescent="0.4">
      <c r="O20"/>
    </row>
    <row r="21" spans="1:15" x14ac:dyDescent="0.4">
      <c r="O21"/>
    </row>
    <row r="22" spans="1:15" x14ac:dyDescent="0.4">
      <c r="O22"/>
    </row>
    <row r="26" spans="1:15" x14ac:dyDescent="0.4">
      <c r="A26" s="159" t="s">
        <v>36</v>
      </c>
      <c r="B26" s="159"/>
      <c r="C26" s="159"/>
      <c r="D26" s="159"/>
      <c r="E26" s="159"/>
      <c r="F26" s="159"/>
      <c r="G26" s="159"/>
      <c r="H26" s="159"/>
      <c r="I26" s="159"/>
      <c r="J26" s="159"/>
      <c r="K26" s="159"/>
    </row>
    <row r="27" spans="1:15" ht="45" customHeight="1" x14ac:dyDescent="0.4">
      <c r="A27" s="155" t="s">
        <v>14</v>
      </c>
      <c r="B27" s="160" t="s">
        <v>97</v>
      </c>
      <c r="C27" s="160"/>
      <c r="D27" s="160" t="s">
        <v>35</v>
      </c>
      <c r="E27" s="160"/>
      <c r="F27" s="160" t="s">
        <v>1</v>
      </c>
      <c r="G27" s="160"/>
      <c r="H27" s="161" t="s">
        <v>98</v>
      </c>
      <c r="I27" s="161"/>
      <c r="J27" s="157" t="s">
        <v>11</v>
      </c>
      <c r="K27" s="155" t="s">
        <v>13</v>
      </c>
    </row>
    <row r="28" spans="1:15" ht="42" customHeight="1" x14ac:dyDescent="0.4">
      <c r="A28" s="156"/>
      <c r="B28" s="22" t="s">
        <v>10</v>
      </c>
      <c r="C28" s="8" t="s">
        <v>9</v>
      </c>
      <c r="D28" s="8" t="s">
        <v>8</v>
      </c>
      <c r="E28" s="8" t="s">
        <v>9</v>
      </c>
      <c r="F28" s="8" t="s">
        <v>8</v>
      </c>
      <c r="G28" s="8" t="s">
        <v>9</v>
      </c>
      <c r="H28" s="8" t="s">
        <v>8</v>
      </c>
      <c r="I28" s="8" t="s">
        <v>9</v>
      </c>
      <c r="J28" s="158"/>
      <c r="K28" s="156"/>
      <c r="L28" s="1"/>
      <c r="N28" s="18" t="s">
        <v>65</v>
      </c>
      <c r="O28" s="1" t="s">
        <v>66</v>
      </c>
    </row>
    <row r="29" spans="1:15" x14ac:dyDescent="0.4">
      <c r="A29" s="3" t="s">
        <v>4</v>
      </c>
      <c r="B29" s="4">
        <v>17.6798</v>
      </c>
      <c r="C29" s="4">
        <v>58.93</v>
      </c>
      <c r="D29" s="47">
        <f>M29/1.25</f>
        <v>0</v>
      </c>
      <c r="E29" s="47">
        <f>(D29*100)/40</f>
        <v>0</v>
      </c>
      <c r="F29" s="4">
        <f>G29/5</f>
        <v>14.486000000000001</v>
      </c>
      <c r="G29" s="33">
        <v>72.430000000000007</v>
      </c>
      <c r="H29" s="5">
        <f>I29/10</f>
        <v>7.8</v>
      </c>
      <c r="I29" s="33">
        <v>78</v>
      </c>
      <c r="J29" s="4">
        <f>B29+D29+F29+H29</f>
        <v>39.965800000000002</v>
      </c>
      <c r="K29" s="27" t="s">
        <v>12</v>
      </c>
      <c r="L29" s="1"/>
      <c r="N29" s="18"/>
    </row>
    <row r="30" spans="1:15" x14ac:dyDescent="0.4">
      <c r="A30" s="3" t="s">
        <v>5</v>
      </c>
      <c r="B30" s="4">
        <v>23.5688</v>
      </c>
      <c r="C30" s="4">
        <v>78.53</v>
      </c>
      <c r="D30" s="47">
        <f t="shared" ref="D30:D32" si="9">M30/1.25</f>
        <v>0</v>
      </c>
      <c r="E30" s="47">
        <f t="shared" ref="E30:E32" si="10">(D30*100)/40</f>
        <v>0</v>
      </c>
      <c r="F30" s="4">
        <f t="shared" ref="F30:F32" si="11">G30/5</f>
        <v>14.424000000000001</v>
      </c>
      <c r="G30" s="33">
        <v>72.12</v>
      </c>
      <c r="H30" s="5">
        <f t="shared" ref="H30:H32" si="12">I30/10</f>
        <v>9.6</v>
      </c>
      <c r="I30" s="33">
        <v>96</v>
      </c>
      <c r="J30" s="4">
        <f t="shared" ref="J30:J32" si="13">B30+D30+F30+H30</f>
        <v>47.592800000000004</v>
      </c>
      <c r="K30" s="39" t="s">
        <v>59</v>
      </c>
      <c r="L30" s="1"/>
      <c r="N30" s="4"/>
      <c r="O30" s="48"/>
    </row>
    <row r="31" spans="1:15" x14ac:dyDescent="0.4">
      <c r="A31" s="3" t="s">
        <v>6</v>
      </c>
      <c r="B31" s="4">
        <v>22.140599999999999</v>
      </c>
      <c r="C31" s="4">
        <v>73.8</v>
      </c>
      <c r="D31" s="47">
        <f t="shared" si="9"/>
        <v>0</v>
      </c>
      <c r="E31" s="47">
        <f t="shared" si="10"/>
        <v>0</v>
      </c>
      <c r="F31" s="4">
        <f t="shared" si="11"/>
        <v>13.052000000000001</v>
      </c>
      <c r="G31" s="33">
        <v>65.260000000000005</v>
      </c>
      <c r="H31" s="5">
        <f t="shared" si="12"/>
        <v>9</v>
      </c>
      <c r="I31" s="33">
        <v>90</v>
      </c>
      <c r="J31" s="4">
        <f t="shared" si="13"/>
        <v>44.192599999999999</v>
      </c>
      <c r="K31" s="39" t="s">
        <v>63</v>
      </c>
      <c r="L31" s="1"/>
      <c r="N31" s="4"/>
      <c r="O31" s="49"/>
    </row>
    <row r="32" spans="1:15" x14ac:dyDescent="0.4">
      <c r="A32" s="3" t="s">
        <v>7</v>
      </c>
      <c r="B32" s="4">
        <v>20.122400000000003</v>
      </c>
      <c r="C32" s="4">
        <v>67.069999999999993</v>
      </c>
      <c r="D32" s="47">
        <f t="shared" si="9"/>
        <v>0</v>
      </c>
      <c r="E32" s="47">
        <f t="shared" si="10"/>
        <v>0</v>
      </c>
      <c r="F32" s="4">
        <f t="shared" si="11"/>
        <v>13.366</v>
      </c>
      <c r="G32" s="33">
        <v>66.83</v>
      </c>
      <c r="H32" s="5">
        <f t="shared" si="12"/>
        <v>8.1</v>
      </c>
      <c r="I32" s="4">
        <v>81</v>
      </c>
      <c r="J32" s="4">
        <f t="shared" si="13"/>
        <v>41.5884</v>
      </c>
      <c r="K32" s="39" t="s">
        <v>39</v>
      </c>
      <c r="L32" s="1"/>
      <c r="N32" s="6"/>
      <c r="O32" s="49"/>
    </row>
    <row r="33" spans="9:15" x14ac:dyDescent="0.4">
      <c r="L33" s="1"/>
      <c r="N33" s="6"/>
      <c r="O33" s="49"/>
    </row>
    <row r="34" spans="9:15" x14ac:dyDescent="0.4">
      <c r="L34" s="1"/>
      <c r="N34" s="6"/>
      <c r="O34" s="49"/>
    </row>
    <row r="35" spans="9:15" x14ac:dyDescent="0.4">
      <c r="I35"/>
      <c r="J35" s="29" t="s">
        <v>62</v>
      </c>
      <c r="L35" s="1"/>
    </row>
    <row r="36" spans="9:15" x14ac:dyDescent="0.4">
      <c r="I36" s="43" t="s">
        <v>71</v>
      </c>
      <c r="J36" s="12"/>
      <c r="L36" s="1"/>
    </row>
    <row r="37" spans="9:15" x14ac:dyDescent="0.4">
      <c r="I37" s="154" t="s">
        <v>74</v>
      </c>
      <c r="J37" s="154"/>
      <c r="K37" s="154"/>
      <c r="L37" s="1"/>
    </row>
    <row r="38" spans="9:15" x14ac:dyDescent="0.4">
      <c r="I38"/>
      <c r="J38" s="29" t="s">
        <v>75</v>
      </c>
      <c r="K38" s="29"/>
      <c r="L38" s="1"/>
    </row>
    <row r="39" spans="9:15" x14ac:dyDescent="0.4">
      <c r="I39"/>
      <c r="J39" s="51" t="s">
        <v>76</v>
      </c>
      <c r="K39" s="51"/>
      <c r="L39" s="1"/>
    </row>
  </sheetData>
  <mergeCells count="21">
    <mergeCell ref="A1:K1"/>
    <mergeCell ref="B2:C2"/>
    <mergeCell ref="D2:E2"/>
    <mergeCell ref="F2:G2"/>
    <mergeCell ref="H2:I2"/>
    <mergeCell ref="A2:A3"/>
    <mergeCell ref="J2:J3"/>
    <mergeCell ref="K2:K3"/>
    <mergeCell ref="J9:K9"/>
    <mergeCell ref="A27:A28"/>
    <mergeCell ref="J27:J28"/>
    <mergeCell ref="K27:K28"/>
    <mergeCell ref="I37:K37"/>
    <mergeCell ref="A26:K26"/>
    <mergeCell ref="B27:C27"/>
    <mergeCell ref="D27:E27"/>
    <mergeCell ref="F27:G27"/>
    <mergeCell ref="H27:I27"/>
    <mergeCell ref="J12:K12"/>
    <mergeCell ref="J13:K13"/>
    <mergeCell ref="J11:K11"/>
  </mergeCells>
  <phoneticPr fontId="1" type="noConversion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AB999-BD37-4392-A254-824797975BE9}">
  <dimension ref="A1:Q38"/>
  <sheetViews>
    <sheetView view="pageLayout" topLeftCell="A10" zoomScale="90" zoomScaleNormal="90" zoomScalePageLayoutView="90" workbookViewId="0">
      <selection activeCell="H14" sqref="H14:H18"/>
    </sheetView>
  </sheetViews>
  <sheetFormatPr defaultRowHeight="21" x14ac:dyDescent="0.4"/>
  <cols>
    <col min="1" max="2" width="11.5" customWidth="1"/>
    <col min="3" max="3" width="14.59765625" style="12" customWidth="1"/>
    <col min="4" max="4" width="12.8984375" customWidth="1"/>
    <col min="5" max="5" width="13.8984375" customWidth="1"/>
    <col min="6" max="6" width="15.8984375" customWidth="1"/>
    <col min="7" max="7" width="18.8984375" style="12" customWidth="1"/>
    <col min="8" max="8" width="31.09765625" customWidth="1"/>
    <col min="9" max="9" width="25.59765625" customWidth="1"/>
    <col min="11" max="11" width="9.19921875" customWidth="1"/>
    <col min="15" max="15" width="8.796875" style="12"/>
    <col min="16" max="16" width="10.69921875" style="12" customWidth="1"/>
    <col min="17" max="17" width="9.69921875" bestFit="1" customWidth="1"/>
  </cols>
  <sheetData>
    <row r="1" spans="1:17" ht="38.4" customHeight="1" x14ac:dyDescent="0.4">
      <c r="A1" s="173" t="s">
        <v>18</v>
      </c>
      <c r="B1" s="173"/>
      <c r="C1" s="173"/>
      <c r="D1" s="173"/>
      <c r="E1" s="173"/>
      <c r="F1" s="173"/>
      <c r="G1" s="173"/>
      <c r="H1" s="173"/>
      <c r="I1" s="108"/>
    </row>
    <row r="2" spans="1:17" x14ac:dyDescent="0.4">
      <c r="A2" s="174" t="s">
        <v>14</v>
      </c>
      <c r="B2" s="174"/>
      <c r="C2" s="175" t="s">
        <v>141</v>
      </c>
      <c r="D2" s="175" t="s">
        <v>142</v>
      </c>
      <c r="E2" s="175" t="s">
        <v>125</v>
      </c>
      <c r="F2" s="177" t="s">
        <v>143</v>
      </c>
      <c r="G2" s="184" t="s">
        <v>124</v>
      </c>
      <c r="H2" s="179" t="s">
        <v>13</v>
      </c>
      <c r="I2" s="109"/>
    </row>
    <row r="3" spans="1:17" ht="45.6" customHeight="1" x14ac:dyDescent="0.4">
      <c r="A3" s="107" t="s">
        <v>15</v>
      </c>
      <c r="B3" s="107" t="s">
        <v>16</v>
      </c>
      <c r="C3" s="176"/>
      <c r="D3" s="176"/>
      <c r="E3" s="176"/>
      <c r="F3" s="178"/>
      <c r="G3" s="185"/>
      <c r="H3" s="180"/>
      <c r="I3" s="109"/>
      <c r="K3" s="53" t="s">
        <v>79</v>
      </c>
      <c r="L3" s="53" t="s">
        <v>80</v>
      </c>
      <c r="M3" s="54" t="s">
        <v>81</v>
      </c>
      <c r="N3" s="55" t="s">
        <v>99</v>
      </c>
      <c r="O3" s="58" t="s">
        <v>128</v>
      </c>
      <c r="P3" s="12" t="s">
        <v>130</v>
      </c>
    </row>
    <row r="4" spans="1:17" x14ac:dyDescent="0.4">
      <c r="A4" s="7">
        <v>1</v>
      </c>
      <c r="B4" s="163">
        <v>1</v>
      </c>
      <c r="C4" s="99">
        <v>58.866000000000007</v>
      </c>
      <c r="D4" s="113">
        <v>26</v>
      </c>
      <c r="E4" s="113">
        <f>C4+D4</f>
        <v>84.866000000000014</v>
      </c>
      <c r="F4" s="165">
        <f>(E4+E5+E6+E7+E8)/5</f>
        <v>88.466000000000008</v>
      </c>
      <c r="G4" s="184" t="s">
        <v>60</v>
      </c>
      <c r="H4" s="181"/>
      <c r="I4" s="110"/>
      <c r="K4">
        <v>97.5</v>
      </c>
      <c r="L4">
        <v>100</v>
      </c>
      <c r="M4" s="12">
        <v>96.83</v>
      </c>
      <c r="N4" s="12">
        <f>(K4+L4+M4)/3</f>
        <v>98.11</v>
      </c>
      <c r="O4" s="12">
        <f>N4*60/100</f>
        <v>58.866000000000007</v>
      </c>
      <c r="P4" s="12">
        <f>E4/10</f>
        <v>8.486600000000001</v>
      </c>
      <c r="Q4" s="12"/>
    </row>
    <row r="5" spans="1:17" x14ac:dyDescent="0.4">
      <c r="A5" s="7">
        <v>2</v>
      </c>
      <c r="B5" s="163"/>
      <c r="C5" s="101">
        <v>58.866000000000007</v>
      </c>
      <c r="D5" s="114">
        <v>35</v>
      </c>
      <c r="E5" s="114">
        <f t="shared" ref="E5:E23" si="0">C5+D5</f>
        <v>93.866000000000014</v>
      </c>
      <c r="F5" s="166"/>
      <c r="G5" s="185"/>
      <c r="H5" s="181"/>
      <c r="I5" s="110"/>
      <c r="K5">
        <v>97.5</v>
      </c>
      <c r="L5">
        <v>100</v>
      </c>
      <c r="M5" s="12">
        <v>96.83</v>
      </c>
      <c r="N5" s="12">
        <f t="shared" ref="N5:N23" si="1">(K5+L5+M5)/3</f>
        <v>98.11</v>
      </c>
      <c r="O5" s="12">
        <f t="shared" ref="O5:O23" si="2">N5*60/100</f>
        <v>58.866000000000007</v>
      </c>
      <c r="P5" s="12">
        <f t="shared" ref="P5:P23" si="3">E5/10</f>
        <v>9.3866000000000014</v>
      </c>
      <c r="Q5" s="12"/>
    </row>
    <row r="6" spans="1:17" x14ac:dyDescent="0.4">
      <c r="A6" s="7">
        <v>3</v>
      </c>
      <c r="B6" s="163"/>
      <c r="C6" s="101">
        <v>58.866000000000007</v>
      </c>
      <c r="D6" s="114">
        <v>32</v>
      </c>
      <c r="E6" s="114">
        <f t="shared" si="0"/>
        <v>90.866000000000014</v>
      </c>
      <c r="F6" s="166"/>
      <c r="G6" s="185"/>
      <c r="H6" s="181"/>
      <c r="I6" s="110"/>
      <c r="K6">
        <v>97.5</v>
      </c>
      <c r="L6">
        <v>100</v>
      </c>
      <c r="M6" s="12">
        <v>96.83</v>
      </c>
      <c r="N6" s="12">
        <f t="shared" si="1"/>
        <v>98.11</v>
      </c>
      <c r="O6" s="12">
        <f t="shared" si="2"/>
        <v>58.866000000000007</v>
      </c>
      <c r="P6" s="12">
        <f t="shared" si="3"/>
        <v>9.0866000000000007</v>
      </c>
      <c r="Q6" s="12"/>
    </row>
    <row r="7" spans="1:17" x14ac:dyDescent="0.4">
      <c r="A7" s="7">
        <v>4</v>
      </c>
      <c r="B7" s="163"/>
      <c r="C7" s="101">
        <v>58.866000000000007</v>
      </c>
      <c r="D7" s="114">
        <v>25</v>
      </c>
      <c r="E7" s="114">
        <f t="shared" si="0"/>
        <v>83.866000000000014</v>
      </c>
      <c r="F7" s="167"/>
      <c r="G7" s="185"/>
      <c r="H7" s="181"/>
      <c r="I7" s="110"/>
      <c r="K7">
        <v>97.5</v>
      </c>
      <c r="L7">
        <v>100</v>
      </c>
      <c r="M7" s="12">
        <v>96.83</v>
      </c>
      <c r="N7" s="12">
        <f t="shared" si="1"/>
        <v>98.11</v>
      </c>
      <c r="O7" s="12">
        <f t="shared" si="2"/>
        <v>58.866000000000007</v>
      </c>
      <c r="P7" s="12">
        <f t="shared" si="3"/>
        <v>8.3866000000000014</v>
      </c>
      <c r="Q7" s="12"/>
    </row>
    <row r="8" spans="1:17" x14ac:dyDescent="0.4">
      <c r="A8" s="7">
        <v>5</v>
      </c>
      <c r="B8" s="163"/>
      <c r="C8" s="24">
        <v>58.866000000000007</v>
      </c>
      <c r="D8" s="106">
        <v>30</v>
      </c>
      <c r="E8" s="106">
        <f t="shared" si="0"/>
        <v>88.866000000000014</v>
      </c>
      <c r="F8" s="168"/>
      <c r="G8" s="186"/>
      <c r="H8" s="181"/>
      <c r="I8" s="110"/>
      <c r="K8">
        <v>97.5</v>
      </c>
      <c r="L8">
        <v>100</v>
      </c>
      <c r="M8" s="12">
        <v>96.83</v>
      </c>
      <c r="N8" s="12">
        <f t="shared" si="1"/>
        <v>98.11</v>
      </c>
      <c r="O8" s="12">
        <f t="shared" si="2"/>
        <v>58.866000000000007</v>
      </c>
      <c r="P8" s="12">
        <f t="shared" si="3"/>
        <v>8.8866000000000014</v>
      </c>
      <c r="Q8" s="12">
        <f>SUM(P4:P8)</f>
        <v>44.233000000000004</v>
      </c>
    </row>
    <row r="9" spans="1:17" x14ac:dyDescent="0.4">
      <c r="A9" s="7">
        <v>1</v>
      </c>
      <c r="B9" s="163">
        <v>2</v>
      </c>
      <c r="C9" s="99">
        <v>58.65</v>
      </c>
      <c r="D9" s="113">
        <v>34</v>
      </c>
      <c r="E9" s="113">
        <f t="shared" si="0"/>
        <v>92.65</v>
      </c>
      <c r="F9" s="165">
        <f>(E9+E10+E11+E12+E13)/5</f>
        <v>92.05</v>
      </c>
      <c r="G9" s="182" t="s">
        <v>34</v>
      </c>
      <c r="H9" s="182"/>
      <c r="I9" s="111"/>
      <c r="K9">
        <v>98.5</v>
      </c>
      <c r="L9">
        <v>99.3</v>
      </c>
      <c r="M9" s="12">
        <v>95.45</v>
      </c>
      <c r="N9" s="12">
        <f t="shared" si="1"/>
        <v>97.75</v>
      </c>
      <c r="O9" s="12">
        <f t="shared" si="2"/>
        <v>58.65</v>
      </c>
      <c r="P9" s="12">
        <f t="shared" si="3"/>
        <v>9.2650000000000006</v>
      </c>
      <c r="Q9" s="12"/>
    </row>
    <row r="10" spans="1:17" x14ac:dyDescent="0.4">
      <c r="A10" s="7">
        <v>2</v>
      </c>
      <c r="B10" s="163"/>
      <c r="C10" s="101">
        <v>58.65</v>
      </c>
      <c r="D10" s="114">
        <v>33</v>
      </c>
      <c r="E10" s="114">
        <f t="shared" si="0"/>
        <v>91.65</v>
      </c>
      <c r="F10" s="166"/>
      <c r="G10" s="182"/>
      <c r="H10" s="182"/>
      <c r="I10" s="111"/>
      <c r="K10">
        <v>98.5</v>
      </c>
      <c r="L10">
        <v>99.3</v>
      </c>
      <c r="M10" s="12">
        <v>95.45</v>
      </c>
      <c r="N10" s="12">
        <f t="shared" si="1"/>
        <v>97.75</v>
      </c>
      <c r="O10" s="12">
        <f t="shared" si="2"/>
        <v>58.65</v>
      </c>
      <c r="P10" s="12">
        <f t="shared" si="3"/>
        <v>9.1650000000000009</v>
      </c>
      <c r="Q10" s="12"/>
    </row>
    <row r="11" spans="1:17" x14ac:dyDescent="0.4">
      <c r="A11" s="7">
        <v>3</v>
      </c>
      <c r="B11" s="163"/>
      <c r="C11" s="101">
        <v>58.65</v>
      </c>
      <c r="D11" s="114">
        <v>33</v>
      </c>
      <c r="E11" s="114">
        <f t="shared" si="0"/>
        <v>91.65</v>
      </c>
      <c r="F11" s="167"/>
      <c r="G11" s="182"/>
      <c r="H11" s="182"/>
      <c r="I11" s="111"/>
      <c r="K11">
        <v>98.5</v>
      </c>
      <c r="L11">
        <v>99.3</v>
      </c>
      <c r="M11" s="12">
        <v>95.45</v>
      </c>
      <c r="N11" s="12">
        <f t="shared" si="1"/>
        <v>97.75</v>
      </c>
      <c r="O11" s="12">
        <f t="shared" si="2"/>
        <v>58.65</v>
      </c>
      <c r="P11" s="12">
        <f t="shared" si="3"/>
        <v>9.1650000000000009</v>
      </c>
      <c r="Q11" s="12"/>
    </row>
    <row r="12" spans="1:17" x14ac:dyDescent="0.4">
      <c r="A12" s="7">
        <v>4</v>
      </c>
      <c r="B12" s="163"/>
      <c r="C12" s="101">
        <v>58.65</v>
      </c>
      <c r="D12" s="114">
        <v>34</v>
      </c>
      <c r="E12" s="114">
        <f t="shared" si="0"/>
        <v>92.65</v>
      </c>
      <c r="F12" s="167"/>
      <c r="G12" s="182"/>
      <c r="H12" s="182"/>
      <c r="I12" s="111"/>
      <c r="K12">
        <v>98.5</v>
      </c>
      <c r="L12">
        <v>99.3</v>
      </c>
      <c r="M12" s="12">
        <v>95.45</v>
      </c>
      <c r="N12" s="12">
        <f t="shared" si="1"/>
        <v>97.75</v>
      </c>
      <c r="O12" s="12">
        <f t="shared" si="2"/>
        <v>58.65</v>
      </c>
      <c r="P12" s="12">
        <f t="shared" si="3"/>
        <v>9.2650000000000006</v>
      </c>
      <c r="Q12" s="12"/>
    </row>
    <row r="13" spans="1:17" x14ac:dyDescent="0.4">
      <c r="A13" s="7">
        <v>5</v>
      </c>
      <c r="B13" s="163"/>
      <c r="C13" s="115">
        <v>58.65</v>
      </c>
      <c r="D13" s="117">
        <v>33</v>
      </c>
      <c r="E13" s="117">
        <f t="shared" si="0"/>
        <v>91.65</v>
      </c>
      <c r="F13" s="169"/>
      <c r="G13" s="182"/>
      <c r="H13" s="182"/>
      <c r="I13" s="111"/>
      <c r="K13">
        <v>98.5</v>
      </c>
      <c r="L13">
        <v>99.3</v>
      </c>
      <c r="M13" s="12">
        <v>95.45</v>
      </c>
      <c r="N13" s="12">
        <f t="shared" si="1"/>
        <v>97.75</v>
      </c>
      <c r="O13" s="12">
        <f t="shared" si="2"/>
        <v>58.65</v>
      </c>
      <c r="P13" s="12">
        <f t="shared" si="3"/>
        <v>9.1650000000000009</v>
      </c>
      <c r="Q13" s="12">
        <f>SUM(P9:P13)</f>
        <v>46.024999999999999</v>
      </c>
    </row>
    <row r="14" spans="1:17" x14ac:dyDescent="0.4">
      <c r="A14" s="7">
        <v>1</v>
      </c>
      <c r="B14" s="163">
        <v>3</v>
      </c>
      <c r="C14" s="16">
        <v>58.742000000000004</v>
      </c>
      <c r="D14" s="105">
        <v>34</v>
      </c>
      <c r="E14" s="116">
        <f t="shared" si="0"/>
        <v>92.742000000000004</v>
      </c>
      <c r="F14" s="170">
        <f>(E14+E15+E16+E17+E18)/5</f>
        <v>88.942000000000007</v>
      </c>
      <c r="G14" s="183" t="s">
        <v>38</v>
      </c>
      <c r="H14" s="183"/>
      <c r="I14" s="112"/>
      <c r="K14">
        <v>96.5</v>
      </c>
      <c r="L14">
        <v>99.3</v>
      </c>
      <c r="M14" s="12">
        <v>97.91</v>
      </c>
      <c r="N14" s="12">
        <f t="shared" si="1"/>
        <v>97.90333333333335</v>
      </c>
      <c r="O14" s="12">
        <f t="shared" si="2"/>
        <v>58.742000000000004</v>
      </c>
      <c r="P14" s="12">
        <f t="shared" si="3"/>
        <v>9.2742000000000004</v>
      </c>
      <c r="Q14" s="12"/>
    </row>
    <row r="15" spans="1:17" x14ac:dyDescent="0.4">
      <c r="A15" s="7">
        <v>2</v>
      </c>
      <c r="B15" s="164"/>
      <c r="C15" s="101">
        <v>58.742000000000004</v>
      </c>
      <c r="D15" s="114">
        <v>28</v>
      </c>
      <c r="E15" s="114">
        <f t="shared" si="0"/>
        <v>86.742000000000004</v>
      </c>
      <c r="F15" s="167"/>
      <c r="G15" s="183"/>
      <c r="H15" s="183"/>
      <c r="I15" s="112"/>
      <c r="K15">
        <v>96.5</v>
      </c>
      <c r="L15">
        <v>99.3</v>
      </c>
      <c r="M15" s="12">
        <v>97.91</v>
      </c>
      <c r="N15" s="12">
        <f t="shared" si="1"/>
        <v>97.90333333333335</v>
      </c>
      <c r="O15" s="12">
        <f t="shared" si="2"/>
        <v>58.742000000000004</v>
      </c>
      <c r="P15" s="12">
        <f t="shared" si="3"/>
        <v>8.6742000000000008</v>
      </c>
      <c r="Q15" s="12"/>
    </row>
    <row r="16" spans="1:17" x14ac:dyDescent="0.4">
      <c r="A16" s="7">
        <v>3</v>
      </c>
      <c r="B16" s="164"/>
      <c r="C16" s="101">
        <v>58.742000000000004</v>
      </c>
      <c r="D16" s="114">
        <v>28</v>
      </c>
      <c r="E16" s="114">
        <f t="shared" si="0"/>
        <v>86.742000000000004</v>
      </c>
      <c r="F16" s="167"/>
      <c r="G16" s="183"/>
      <c r="H16" s="183"/>
      <c r="I16" s="112"/>
      <c r="K16">
        <v>96.5</v>
      </c>
      <c r="L16">
        <v>99.3</v>
      </c>
      <c r="M16" s="12">
        <v>97.91</v>
      </c>
      <c r="N16" s="12">
        <f t="shared" si="1"/>
        <v>97.90333333333335</v>
      </c>
      <c r="O16" s="12">
        <f t="shared" si="2"/>
        <v>58.742000000000004</v>
      </c>
      <c r="P16" s="12">
        <f t="shared" si="3"/>
        <v>8.6742000000000008</v>
      </c>
      <c r="Q16" s="12"/>
    </row>
    <row r="17" spans="1:17" x14ac:dyDescent="0.4">
      <c r="A17" s="7">
        <v>4</v>
      </c>
      <c r="B17" s="164"/>
      <c r="C17" s="101">
        <v>58.742000000000004</v>
      </c>
      <c r="D17" s="114">
        <v>30</v>
      </c>
      <c r="E17" s="114">
        <f t="shared" si="0"/>
        <v>88.742000000000004</v>
      </c>
      <c r="F17" s="167"/>
      <c r="G17" s="183"/>
      <c r="H17" s="183"/>
      <c r="I17" s="112"/>
      <c r="K17">
        <v>96.5</v>
      </c>
      <c r="L17">
        <v>99.3</v>
      </c>
      <c r="M17" s="12">
        <v>97.91</v>
      </c>
      <c r="N17" s="12">
        <f t="shared" si="1"/>
        <v>97.90333333333335</v>
      </c>
      <c r="O17" s="12">
        <f t="shared" si="2"/>
        <v>58.742000000000004</v>
      </c>
      <c r="P17" s="12">
        <f t="shared" si="3"/>
        <v>8.8742000000000001</v>
      </c>
      <c r="Q17" s="12"/>
    </row>
    <row r="18" spans="1:17" x14ac:dyDescent="0.4">
      <c r="A18" s="7">
        <v>5</v>
      </c>
      <c r="B18" s="164"/>
      <c r="C18" s="24">
        <v>58.742000000000004</v>
      </c>
      <c r="D18" s="106">
        <v>31</v>
      </c>
      <c r="E18" s="106">
        <f t="shared" si="0"/>
        <v>89.742000000000004</v>
      </c>
      <c r="F18" s="169"/>
      <c r="G18" s="183"/>
      <c r="H18" s="183"/>
      <c r="I18" s="112"/>
      <c r="K18">
        <v>96.5</v>
      </c>
      <c r="L18">
        <v>99.3</v>
      </c>
      <c r="M18" s="12">
        <v>97.91</v>
      </c>
      <c r="N18" s="12">
        <f t="shared" si="1"/>
        <v>97.90333333333335</v>
      </c>
      <c r="O18" s="12">
        <f t="shared" si="2"/>
        <v>58.742000000000004</v>
      </c>
      <c r="P18" s="12">
        <f t="shared" si="3"/>
        <v>8.9741999999999997</v>
      </c>
      <c r="Q18" s="12">
        <f>SUM(P14:P18)</f>
        <v>44.471000000000004</v>
      </c>
    </row>
    <row r="19" spans="1:17" x14ac:dyDescent="0.4">
      <c r="A19" s="7">
        <v>1</v>
      </c>
      <c r="B19" s="164">
        <v>4</v>
      </c>
      <c r="C19" s="99">
        <v>58.426000000000002</v>
      </c>
      <c r="D19" s="113">
        <v>27</v>
      </c>
      <c r="E19" s="113">
        <f t="shared" si="0"/>
        <v>85.426000000000002</v>
      </c>
      <c r="F19" s="170">
        <f>(E19+E20+E21+E22+E23)/5</f>
        <v>84.426000000000002</v>
      </c>
      <c r="G19" s="183" t="s">
        <v>61</v>
      </c>
      <c r="H19" s="183"/>
      <c r="I19" s="112"/>
      <c r="K19">
        <v>95.5</v>
      </c>
      <c r="L19">
        <v>99.3</v>
      </c>
      <c r="M19" s="12">
        <v>97.33</v>
      </c>
      <c r="N19" s="12">
        <f t="shared" si="1"/>
        <v>97.376666666666665</v>
      </c>
      <c r="O19" s="12">
        <f t="shared" si="2"/>
        <v>58.426000000000002</v>
      </c>
      <c r="P19" s="12">
        <f t="shared" si="3"/>
        <v>8.5426000000000002</v>
      </c>
      <c r="Q19" s="12"/>
    </row>
    <row r="20" spans="1:17" x14ac:dyDescent="0.4">
      <c r="A20" s="7">
        <v>2</v>
      </c>
      <c r="B20" s="164"/>
      <c r="C20" s="101">
        <v>58.426000000000002</v>
      </c>
      <c r="D20" s="114">
        <v>26</v>
      </c>
      <c r="E20" s="114">
        <f t="shared" si="0"/>
        <v>84.426000000000002</v>
      </c>
      <c r="F20" s="167"/>
      <c r="G20" s="183"/>
      <c r="H20" s="183"/>
      <c r="I20" s="112"/>
      <c r="K20">
        <v>95.5</v>
      </c>
      <c r="L20">
        <v>99.3</v>
      </c>
      <c r="M20" s="12">
        <v>97.33</v>
      </c>
      <c r="N20" s="12">
        <f t="shared" si="1"/>
        <v>97.376666666666665</v>
      </c>
      <c r="O20" s="12">
        <f t="shared" si="2"/>
        <v>58.426000000000002</v>
      </c>
      <c r="P20" s="12">
        <f t="shared" si="3"/>
        <v>8.4426000000000005</v>
      </c>
      <c r="Q20" s="12"/>
    </row>
    <row r="21" spans="1:17" x14ac:dyDescent="0.4">
      <c r="A21" s="7">
        <v>3</v>
      </c>
      <c r="B21" s="163"/>
      <c r="C21" s="101">
        <v>58.426000000000002</v>
      </c>
      <c r="D21" s="114">
        <v>30</v>
      </c>
      <c r="E21" s="114">
        <f t="shared" si="0"/>
        <v>88.426000000000002</v>
      </c>
      <c r="F21" s="167"/>
      <c r="G21" s="183"/>
      <c r="H21" s="183"/>
      <c r="I21" s="112"/>
      <c r="K21">
        <v>95.5</v>
      </c>
      <c r="L21">
        <v>99.3</v>
      </c>
      <c r="M21" s="12">
        <v>97.33</v>
      </c>
      <c r="N21" s="12">
        <f t="shared" si="1"/>
        <v>97.376666666666665</v>
      </c>
      <c r="O21" s="12">
        <f t="shared" si="2"/>
        <v>58.426000000000002</v>
      </c>
      <c r="P21" s="12">
        <f t="shared" si="3"/>
        <v>8.8426000000000009</v>
      </c>
      <c r="Q21" s="12"/>
    </row>
    <row r="22" spans="1:17" x14ac:dyDescent="0.4">
      <c r="A22" s="7">
        <v>4</v>
      </c>
      <c r="B22" s="163"/>
      <c r="C22" s="101">
        <v>58.426000000000002</v>
      </c>
      <c r="D22" s="114">
        <v>22</v>
      </c>
      <c r="E22" s="114">
        <f t="shared" si="0"/>
        <v>80.426000000000002</v>
      </c>
      <c r="F22" s="167"/>
      <c r="G22" s="183"/>
      <c r="H22" s="183"/>
      <c r="I22" s="112"/>
      <c r="K22">
        <v>95.5</v>
      </c>
      <c r="L22">
        <v>99.3</v>
      </c>
      <c r="M22" s="12">
        <v>97.33</v>
      </c>
      <c r="N22" s="12">
        <f t="shared" si="1"/>
        <v>97.376666666666665</v>
      </c>
      <c r="O22" s="12">
        <f t="shared" si="2"/>
        <v>58.426000000000002</v>
      </c>
      <c r="P22" s="12">
        <f t="shared" si="3"/>
        <v>8.0426000000000002</v>
      </c>
      <c r="Q22" s="12"/>
    </row>
    <row r="23" spans="1:17" x14ac:dyDescent="0.4">
      <c r="A23" s="7">
        <v>5</v>
      </c>
      <c r="B23" s="163"/>
      <c r="C23" s="24">
        <v>58.426000000000002</v>
      </c>
      <c r="D23" s="106">
        <v>25</v>
      </c>
      <c r="E23" s="106">
        <f t="shared" si="0"/>
        <v>83.426000000000002</v>
      </c>
      <c r="F23" s="168"/>
      <c r="G23" s="183"/>
      <c r="H23" s="183"/>
      <c r="I23" s="112"/>
      <c r="K23">
        <v>95.5</v>
      </c>
      <c r="L23">
        <v>99.3</v>
      </c>
      <c r="M23" s="12">
        <v>97.33</v>
      </c>
      <c r="N23" s="12">
        <f t="shared" si="1"/>
        <v>97.376666666666665</v>
      </c>
      <c r="O23" s="12">
        <f t="shared" si="2"/>
        <v>58.426000000000002</v>
      </c>
      <c r="P23" s="12">
        <f t="shared" si="3"/>
        <v>8.3426000000000009</v>
      </c>
      <c r="Q23" s="12">
        <f>SUM(P19:P23)</f>
        <v>42.213000000000008</v>
      </c>
    </row>
    <row r="24" spans="1:17" x14ac:dyDescent="0.4">
      <c r="A24" s="64"/>
      <c r="B24" s="124"/>
      <c r="C24" s="18"/>
      <c r="D24" s="125"/>
      <c r="E24" s="125"/>
      <c r="F24" s="126"/>
      <c r="G24" s="127"/>
      <c r="H24" s="127"/>
      <c r="I24" s="112"/>
      <c r="M24" s="12"/>
      <c r="N24" s="12"/>
      <c r="Q24" s="12"/>
    </row>
    <row r="25" spans="1:17" x14ac:dyDescent="0.4">
      <c r="A25" s="2"/>
      <c r="B25" s="2"/>
      <c r="D25" s="2"/>
      <c r="E25" s="2"/>
      <c r="F25" s="2"/>
      <c r="G25" s="171" t="s">
        <v>78</v>
      </c>
      <c r="H25" s="171"/>
      <c r="I25" s="44"/>
      <c r="M25" s="12"/>
    </row>
    <row r="26" spans="1:17" x14ac:dyDescent="0.4">
      <c r="A26" s="2"/>
      <c r="B26" s="2"/>
      <c r="D26" s="41"/>
      <c r="G26" s="41" t="s">
        <v>71</v>
      </c>
      <c r="H26" s="2"/>
      <c r="I26" s="2"/>
      <c r="M26" s="12"/>
    </row>
    <row r="27" spans="1:17" x14ac:dyDescent="0.4">
      <c r="E27" s="40"/>
      <c r="F27" s="40"/>
      <c r="G27" s="172" t="s">
        <v>129</v>
      </c>
      <c r="H27" s="172"/>
      <c r="I27" s="66"/>
      <c r="M27" s="12"/>
    </row>
    <row r="28" spans="1:17" x14ac:dyDescent="0.4">
      <c r="E28" s="40"/>
      <c r="F28" s="40"/>
      <c r="G28" s="172" t="s">
        <v>77</v>
      </c>
      <c r="H28" s="172"/>
      <c r="I28" s="66"/>
      <c r="M28" s="12"/>
    </row>
    <row r="29" spans="1:17" x14ac:dyDescent="0.4">
      <c r="E29" s="42"/>
      <c r="F29" s="42"/>
      <c r="G29" s="162" t="s">
        <v>137</v>
      </c>
      <c r="H29" s="162"/>
      <c r="I29" s="65"/>
      <c r="M29" s="12"/>
    </row>
    <row r="30" spans="1:17" x14ac:dyDescent="0.4">
      <c r="A30" s="42"/>
      <c r="B30" s="65"/>
      <c r="C30" s="65"/>
      <c r="D30" s="65"/>
      <c r="G30"/>
      <c r="H30" s="12"/>
      <c r="J30" s="12"/>
      <c r="K30" s="12"/>
      <c r="O30"/>
      <c r="P30"/>
    </row>
    <row r="31" spans="1:17" x14ac:dyDescent="0.4">
      <c r="B31" s="12"/>
      <c r="C31"/>
      <c r="G31"/>
      <c r="J31" s="12"/>
      <c r="K31" s="12"/>
      <c r="O31"/>
      <c r="P31"/>
    </row>
    <row r="32" spans="1:17" x14ac:dyDescent="0.4">
      <c r="B32" s="12"/>
      <c r="C32"/>
      <c r="G32"/>
      <c r="J32" s="12"/>
      <c r="K32" s="12"/>
      <c r="O32"/>
      <c r="P32"/>
    </row>
    <row r="33" spans="2:16" x14ac:dyDescent="0.4">
      <c r="B33" s="12"/>
      <c r="C33"/>
      <c r="G33"/>
      <c r="J33" s="12"/>
      <c r="K33" s="12"/>
      <c r="O33"/>
      <c r="P33"/>
    </row>
    <row r="34" spans="2:16" x14ac:dyDescent="0.4">
      <c r="B34" s="12"/>
      <c r="C34"/>
      <c r="G34"/>
      <c r="J34" s="12"/>
      <c r="K34" s="12"/>
      <c r="O34"/>
      <c r="P34"/>
    </row>
    <row r="35" spans="2:16" x14ac:dyDescent="0.4">
      <c r="B35" s="12"/>
      <c r="C35"/>
      <c r="G35"/>
      <c r="J35" s="12"/>
      <c r="K35" s="12"/>
      <c r="O35"/>
      <c r="P35"/>
    </row>
    <row r="36" spans="2:16" x14ac:dyDescent="0.4">
      <c r="B36" s="12"/>
      <c r="C36"/>
      <c r="G36"/>
      <c r="J36" s="12"/>
      <c r="K36" s="12"/>
      <c r="O36"/>
      <c r="P36"/>
    </row>
    <row r="37" spans="2:16" x14ac:dyDescent="0.4">
      <c r="B37" s="12"/>
      <c r="C37"/>
      <c r="G37"/>
      <c r="J37" s="12"/>
      <c r="K37" s="12"/>
      <c r="O37"/>
      <c r="P37"/>
    </row>
    <row r="38" spans="2:16" x14ac:dyDescent="0.4">
      <c r="B38" s="12"/>
      <c r="C38"/>
      <c r="G38"/>
      <c r="J38" s="12"/>
      <c r="K38" s="12"/>
      <c r="O38"/>
      <c r="P38"/>
    </row>
  </sheetData>
  <mergeCells count="28">
    <mergeCell ref="G2:G3"/>
    <mergeCell ref="G4:G8"/>
    <mergeCell ref="G9:G13"/>
    <mergeCell ref="G14:G18"/>
    <mergeCell ref="G19:G23"/>
    <mergeCell ref="G25:H25"/>
    <mergeCell ref="G29:H29"/>
    <mergeCell ref="G27:H27"/>
    <mergeCell ref="G28:H28"/>
    <mergeCell ref="A1:H1"/>
    <mergeCell ref="A2:B2"/>
    <mergeCell ref="D2:D3"/>
    <mergeCell ref="E2:E3"/>
    <mergeCell ref="F2:F3"/>
    <mergeCell ref="H2:H3"/>
    <mergeCell ref="H4:H8"/>
    <mergeCell ref="H9:H13"/>
    <mergeCell ref="H14:H18"/>
    <mergeCell ref="H19:H23"/>
    <mergeCell ref="B4:B8"/>
    <mergeCell ref="C2:C3"/>
    <mergeCell ref="B9:B13"/>
    <mergeCell ref="B14:B18"/>
    <mergeCell ref="B19:B23"/>
    <mergeCell ref="F4:F8"/>
    <mergeCell ref="F9:F13"/>
    <mergeCell ref="F14:F18"/>
    <mergeCell ref="F19:F23"/>
  </mergeCells>
  <phoneticPr fontId="1" type="noConversion"/>
  <pageMargins left="0.62992125984251968" right="0.23622047244094491" top="0.31496062992125984" bottom="0.31496062992125984" header="0.31496062992125984" footer="0.31496062992125984"/>
  <pageSetup scale="9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1FFD0-1925-44C9-B866-9C2F4B67900C}">
  <dimension ref="A1:Y23"/>
  <sheetViews>
    <sheetView topLeftCell="E1" zoomScale="70" zoomScaleNormal="70" workbookViewId="0">
      <selection activeCell="U20" sqref="U20:U23"/>
    </sheetView>
  </sheetViews>
  <sheetFormatPr defaultRowHeight="21" x14ac:dyDescent="0.4"/>
  <cols>
    <col min="1" max="1" width="19" customWidth="1"/>
    <col min="2" max="2" width="21.69921875" customWidth="1"/>
    <col min="3" max="3" width="15.8984375" style="46" customWidth="1"/>
    <col min="4" max="4" width="16.5" style="46" customWidth="1"/>
    <col min="5" max="5" width="12.8984375" customWidth="1"/>
    <col min="6" max="6" width="30" customWidth="1"/>
    <col min="7" max="7" width="15" customWidth="1"/>
    <col min="9" max="9" width="16.09765625" customWidth="1"/>
    <col min="10" max="10" width="16.8984375" customWidth="1"/>
    <col min="11" max="11" width="19.59765625" style="2" customWidth="1"/>
    <col min="12" max="12" width="14.69921875" customWidth="1"/>
    <col min="13" max="13" width="11.796875" customWidth="1"/>
    <col min="14" max="14" width="11.59765625" customWidth="1"/>
    <col min="15" max="15" width="12.5" customWidth="1"/>
    <col min="16" max="16" width="8.796875" style="12"/>
    <col min="17" max="18" width="8.796875" style="30"/>
    <col min="19" max="21" width="8.796875" style="12"/>
    <col min="22" max="22" width="8.796875" style="30"/>
  </cols>
  <sheetData>
    <row r="1" spans="1:25" x14ac:dyDescent="0.4">
      <c r="A1" s="171" t="s">
        <v>19</v>
      </c>
      <c r="B1" s="171"/>
      <c r="C1" s="171"/>
      <c r="D1" s="171"/>
      <c r="E1" s="171"/>
      <c r="F1" s="171"/>
      <c r="G1" s="188" t="s">
        <v>19</v>
      </c>
      <c r="H1" s="188"/>
      <c r="I1" s="188"/>
      <c r="J1" s="188"/>
      <c r="K1" s="188"/>
      <c r="L1" s="188"/>
      <c r="M1" s="188"/>
      <c r="N1" s="188"/>
    </row>
    <row r="2" spans="1:25" ht="37.5" customHeight="1" x14ac:dyDescent="0.4">
      <c r="A2" s="9" t="s">
        <v>14</v>
      </c>
      <c r="B2" s="11" t="s">
        <v>30</v>
      </c>
      <c r="C2" s="45" t="s">
        <v>31</v>
      </c>
      <c r="D2" s="11" t="s">
        <v>138</v>
      </c>
      <c r="E2" s="11" t="s">
        <v>139</v>
      </c>
      <c r="F2" s="3" t="s">
        <v>13</v>
      </c>
      <c r="G2" s="189" t="s">
        <v>14</v>
      </c>
      <c r="H2" s="189"/>
      <c r="I2" s="189" t="s">
        <v>56</v>
      </c>
      <c r="J2" s="189"/>
      <c r="K2" s="190" t="s">
        <v>53</v>
      </c>
      <c r="L2" s="190" t="s">
        <v>33</v>
      </c>
      <c r="M2" s="192" t="s">
        <v>17</v>
      </c>
      <c r="N2" s="194" t="s">
        <v>13</v>
      </c>
      <c r="O2" t="s">
        <v>67</v>
      </c>
      <c r="P2" s="12" t="s">
        <v>68</v>
      </c>
      <c r="Q2" s="30" t="s">
        <v>140</v>
      </c>
      <c r="R2" s="30" t="s">
        <v>69</v>
      </c>
    </row>
    <row r="3" spans="1:25" x14ac:dyDescent="0.4">
      <c r="A3" s="3" t="s">
        <v>4</v>
      </c>
      <c r="B3" s="4">
        <v>49.29</v>
      </c>
      <c r="C3" s="48">
        <v>29.71</v>
      </c>
      <c r="D3" s="48">
        <v>16</v>
      </c>
      <c r="E3" s="4">
        <f>B3+C3+D3</f>
        <v>95</v>
      </c>
      <c r="F3" s="39" t="s">
        <v>39</v>
      </c>
      <c r="G3" s="3" t="s">
        <v>15</v>
      </c>
      <c r="H3" s="3" t="s">
        <v>16</v>
      </c>
      <c r="I3" s="3" t="s">
        <v>51</v>
      </c>
      <c r="J3" s="3" t="s">
        <v>52</v>
      </c>
      <c r="K3" s="191"/>
      <c r="L3" s="191"/>
      <c r="M3" s="193"/>
      <c r="N3" s="195"/>
      <c r="T3" s="12">
        <f>E3/2.5</f>
        <v>38</v>
      </c>
    </row>
    <row r="4" spans="1:25" x14ac:dyDescent="0.4">
      <c r="A4" s="3" t="s">
        <v>5</v>
      </c>
      <c r="B4" s="4">
        <v>49.2</v>
      </c>
      <c r="C4" s="49">
        <v>29.7</v>
      </c>
      <c r="D4" s="48">
        <v>19.600000000000001</v>
      </c>
      <c r="E4" s="4">
        <f t="shared" ref="E4:E6" si="0">B4+C4+D4</f>
        <v>98.5</v>
      </c>
      <c r="F4" s="27" t="s">
        <v>34</v>
      </c>
      <c r="G4" s="7">
        <v>1</v>
      </c>
      <c r="H4" s="164">
        <v>1</v>
      </c>
      <c r="I4" s="4">
        <v>49.35</v>
      </c>
      <c r="J4" s="4">
        <f>(P4*30)/100</f>
        <v>29.738999999999997</v>
      </c>
      <c r="K4" s="13">
        <v>13</v>
      </c>
      <c r="L4" s="4">
        <f>I4+J4+K4</f>
        <v>92.088999999999999</v>
      </c>
      <c r="M4" s="165">
        <f>(L4+L5+L6+L7+L8)/5</f>
        <v>95.002399999999994</v>
      </c>
      <c r="N4" s="183"/>
      <c r="P4" s="12">
        <v>99.13</v>
      </c>
      <c r="Q4" s="32">
        <f>K4</f>
        <v>13</v>
      </c>
      <c r="R4" s="12">
        <f>L4/2</f>
        <v>46.044499999999999</v>
      </c>
      <c r="S4" s="52"/>
      <c r="T4" s="12">
        <f t="shared" ref="T4:T6" si="1">E4/2.5</f>
        <v>39.4</v>
      </c>
      <c r="U4" s="52"/>
      <c r="V4" s="12"/>
      <c r="W4" s="52"/>
      <c r="X4" s="30"/>
      <c r="Y4" s="32"/>
    </row>
    <row r="5" spans="1:25" x14ac:dyDescent="0.4">
      <c r="A5" s="3" t="s">
        <v>6</v>
      </c>
      <c r="B5" s="4">
        <v>49.24</v>
      </c>
      <c r="C5" s="49">
        <v>29.76</v>
      </c>
      <c r="D5" s="48">
        <v>17.399999999999999</v>
      </c>
      <c r="E5" s="4">
        <f t="shared" si="0"/>
        <v>96.4</v>
      </c>
      <c r="F5" s="3" t="s">
        <v>38</v>
      </c>
      <c r="G5" s="7">
        <v>2</v>
      </c>
      <c r="H5" s="164"/>
      <c r="I5" s="4">
        <v>49.22</v>
      </c>
      <c r="J5" s="4">
        <f t="shared" ref="J5:J23" si="2">(P5*30)/100</f>
        <v>29.663999999999998</v>
      </c>
      <c r="K5" s="13">
        <v>15</v>
      </c>
      <c r="L5" s="4">
        <f t="shared" ref="L5:L23" si="3">I5+J5+K5</f>
        <v>93.884</v>
      </c>
      <c r="M5" s="166"/>
      <c r="N5" s="183"/>
      <c r="P5" s="12">
        <v>98.88</v>
      </c>
      <c r="Q5" s="32">
        <f t="shared" ref="Q5:Q23" si="4">K5</f>
        <v>15</v>
      </c>
      <c r="R5" s="12">
        <f t="shared" ref="R5:R23" si="5">L5/2</f>
        <v>46.942</v>
      </c>
      <c r="S5" s="52"/>
      <c r="T5" s="12">
        <f t="shared" si="1"/>
        <v>38.56</v>
      </c>
      <c r="U5" s="52"/>
      <c r="V5" s="12"/>
      <c r="W5" s="52"/>
      <c r="Y5" s="32"/>
    </row>
    <row r="6" spans="1:25" x14ac:dyDescent="0.4">
      <c r="A6" s="3" t="s">
        <v>7</v>
      </c>
      <c r="B6" s="4">
        <v>49.06</v>
      </c>
      <c r="C6" s="49">
        <v>29.77</v>
      </c>
      <c r="D6" s="48">
        <v>17</v>
      </c>
      <c r="E6" s="4">
        <f t="shared" si="0"/>
        <v>95.83</v>
      </c>
      <c r="F6" s="3" t="s">
        <v>63</v>
      </c>
      <c r="G6" s="7">
        <v>3</v>
      </c>
      <c r="H6" s="164"/>
      <c r="I6" s="4">
        <v>49.39</v>
      </c>
      <c r="J6" s="4">
        <f t="shared" si="2"/>
        <v>29.738999999999997</v>
      </c>
      <c r="K6" s="13">
        <v>20</v>
      </c>
      <c r="L6" s="4">
        <f t="shared" si="3"/>
        <v>99.128999999999991</v>
      </c>
      <c r="M6" s="166"/>
      <c r="N6" s="183"/>
      <c r="P6" s="12">
        <v>99.13</v>
      </c>
      <c r="Q6" s="32">
        <f t="shared" si="4"/>
        <v>20</v>
      </c>
      <c r="R6" s="12">
        <f t="shared" si="5"/>
        <v>49.564499999999995</v>
      </c>
      <c r="S6" s="52"/>
      <c r="T6" s="12">
        <f t="shared" si="1"/>
        <v>38.332000000000001</v>
      </c>
      <c r="U6" s="52"/>
      <c r="V6" s="12"/>
      <c r="W6" s="52"/>
      <c r="Y6" s="32"/>
    </row>
    <row r="7" spans="1:25" x14ac:dyDescent="0.4">
      <c r="G7" s="7">
        <v>4</v>
      </c>
      <c r="H7" s="164"/>
      <c r="I7" s="4">
        <v>49.19</v>
      </c>
      <c r="J7" s="4">
        <f t="shared" si="2"/>
        <v>29.625</v>
      </c>
      <c r="K7" s="13">
        <v>15</v>
      </c>
      <c r="L7" s="4">
        <f t="shared" si="3"/>
        <v>93.814999999999998</v>
      </c>
      <c r="M7" s="166"/>
      <c r="N7" s="183"/>
      <c r="P7" s="12">
        <v>98.75</v>
      </c>
      <c r="Q7" s="32">
        <f t="shared" si="4"/>
        <v>15</v>
      </c>
      <c r="R7" s="12">
        <f t="shared" si="5"/>
        <v>46.907499999999999</v>
      </c>
      <c r="S7" s="52"/>
      <c r="U7" s="52"/>
      <c r="V7" s="12"/>
      <c r="W7" s="52"/>
      <c r="Y7" s="32"/>
    </row>
    <row r="8" spans="1:25" x14ac:dyDescent="0.4">
      <c r="C8" s="63"/>
      <c r="D8" s="63"/>
      <c r="E8" s="29"/>
      <c r="F8" s="1"/>
      <c r="G8" s="7">
        <v>5</v>
      </c>
      <c r="H8" s="164"/>
      <c r="I8" s="4">
        <v>49.32</v>
      </c>
      <c r="J8" s="4">
        <f t="shared" si="2"/>
        <v>29.774999999999999</v>
      </c>
      <c r="K8" s="13">
        <v>17</v>
      </c>
      <c r="L8" s="4">
        <f t="shared" si="3"/>
        <v>96.094999999999999</v>
      </c>
      <c r="M8" s="168"/>
      <c r="N8" s="183"/>
      <c r="P8" s="12">
        <v>99.25</v>
      </c>
      <c r="Q8" s="32">
        <f t="shared" si="4"/>
        <v>17</v>
      </c>
      <c r="R8" s="12">
        <f t="shared" si="5"/>
        <v>48.047499999999999</v>
      </c>
      <c r="S8" s="12">
        <f>R4+R5+R6+R7+R8</f>
        <v>237.50599999999997</v>
      </c>
      <c r="W8" s="30"/>
      <c r="Y8" s="30"/>
    </row>
    <row r="9" spans="1:25" x14ac:dyDescent="0.4">
      <c r="D9" s="2"/>
      <c r="E9" s="197" t="s">
        <v>78</v>
      </c>
      <c r="F9" s="197"/>
      <c r="G9" s="7">
        <v>1</v>
      </c>
      <c r="H9" s="164">
        <v>2</v>
      </c>
      <c r="I9" s="4">
        <v>49.14</v>
      </c>
      <c r="J9" s="4">
        <f t="shared" si="2"/>
        <v>29.738999999999997</v>
      </c>
      <c r="K9" s="13">
        <v>20</v>
      </c>
      <c r="L9" s="4">
        <f t="shared" si="3"/>
        <v>98.878999999999991</v>
      </c>
      <c r="M9" s="165">
        <f t="shared" ref="M9" si="6">(L9+L10+L11+L12+L13)/5</f>
        <v>98.502600000000001</v>
      </c>
      <c r="N9" s="196"/>
      <c r="P9" s="12">
        <v>99.13</v>
      </c>
      <c r="Q9" s="32">
        <f t="shared" si="4"/>
        <v>20</v>
      </c>
      <c r="R9" s="12">
        <f t="shared" si="5"/>
        <v>49.439499999999995</v>
      </c>
    </row>
    <row r="10" spans="1:25" x14ac:dyDescent="0.4">
      <c r="D10" s="41" t="s">
        <v>71</v>
      </c>
      <c r="E10" s="41"/>
      <c r="F10" s="2"/>
      <c r="G10" s="7">
        <v>2</v>
      </c>
      <c r="H10" s="164"/>
      <c r="I10" s="4">
        <v>48.98</v>
      </c>
      <c r="J10" s="4">
        <f t="shared" si="2"/>
        <v>29.625</v>
      </c>
      <c r="K10" s="13">
        <v>19</v>
      </c>
      <c r="L10" s="4">
        <f t="shared" si="3"/>
        <v>97.60499999999999</v>
      </c>
      <c r="M10" s="166"/>
      <c r="N10" s="196"/>
      <c r="P10" s="12">
        <v>98.75</v>
      </c>
      <c r="Q10" s="32">
        <f t="shared" si="4"/>
        <v>19</v>
      </c>
      <c r="R10" s="12">
        <f t="shared" si="5"/>
        <v>48.802499999999995</v>
      </c>
    </row>
    <row r="11" spans="1:25" x14ac:dyDescent="0.4">
      <c r="D11" s="40"/>
      <c r="E11" s="187" t="s">
        <v>72</v>
      </c>
      <c r="F11" s="187"/>
      <c r="G11" s="7">
        <v>3</v>
      </c>
      <c r="H11" s="164"/>
      <c r="I11" s="4">
        <v>49.39</v>
      </c>
      <c r="J11" s="4">
        <f t="shared" si="2"/>
        <v>29.813999999999997</v>
      </c>
      <c r="K11" s="13">
        <v>19</v>
      </c>
      <c r="L11" s="4">
        <f t="shared" si="3"/>
        <v>98.203999999999994</v>
      </c>
      <c r="M11" s="166"/>
      <c r="N11" s="196"/>
      <c r="P11" s="38">
        <v>99.38</v>
      </c>
      <c r="Q11" s="32">
        <f t="shared" si="4"/>
        <v>19</v>
      </c>
      <c r="R11" s="12">
        <f t="shared" si="5"/>
        <v>49.101999999999997</v>
      </c>
      <c r="S11" s="38"/>
      <c r="T11" s="38"/>
      <c r="U11" s="38"/>
      <c r="V11" s="31"/>
    </row>
    <row r="12" spans="1:25" x14ac:dyDescent="0.4">
      <c r="D12" s="40"/>
      <c r="E12" s="187" t="s">
        <v>77</v>
      </c>
      <c r="F12" s="187"/>
      <c r="G12" s="7">
        <v>4</v>
      </c>
      <c r="H12" s="164"/>
      <c r="I12" s="4">
        <v>49.22</v>
      </c>
      <c r="J12" s="4">
        <f t="shared" si="2"/>
        <v>29.625</v>
      </c>
      <c r="K12" s="13">
        <v>20</v>
      </c>
      <c r="L12" s="4">
        <f t="shared" si="3"/>
        <v>98.844999999999999</v>
      </c>
      <c r="M12" s="166"/>
      <c r="N12" s="196"/>
      <c r="P12" s="12">
        <v>98.75</v>
      </c>
      <c r="Q12" s="32">
        <f t="shared" si="4"/>
        <v>20</v>
      </c>
      <c r="R12" s="12">
        <f t="shared" si="5"/>
        <v>49.422499999999999</v>
      </c>
    </row>
    <row r="13" spans="1:25" x14ac:dyDescent="0.4">
      <c r="D13" s="42"/>
      <c r="E13" s="198" t="s">
        <v>146</v>
      </c>
      <c r="F13" s="198"/>
      <c r="G13" s="7">
        <v>5</v>
      </c>
      <c r="H13" s="164"/>
      <c r="I13" s="4">
        <v>49.28</v>
      </c>
      <c r="J13" s="4">
        <f t="shared" si="2"/>
        <v>29.7</v>
      </c>
      <c r="K13" s="13">
        <v>20</v>
      </c>
      <c r="L13" s="4">
        <f t="shared" si="3"/>
        <v>98.98</v>
      </c>
      <c r="M13" s="168"/>
      <c r="N13" s="196"/>
      <c r="P13" s="12">
        <v>99</v>
      </c>
      <c r="Q13" s="32">
        <f t="shared" si="4"/>
        <v>20</v>
      </c>
      <c r="R13" s="12">
        <f t="shared" si="5"/>
        <v>49.49</v>
      </c>
      <c r="S13" s="12">
        <f>R9+R10+R11+R12+R13</f>
        <v>246.25650000000002</v>
      </c>
    </row>
    <row r="14" spans="1:25" x14ac:dyDescent="0.4">
      <c r="G14" s="7">
        <v>1</v>
      </c>
      <c r="H14" s="164">
        <v>3</v>
      </c>
      <c r="I14" s="4">
        <v>49.46</v>
      </c>
      <c r="J14" s="4">
        <f t="shared" si="2"/>
        <v>29.738999999999997</v>
      </c>
      <c r="K14" s="13">
        <v>20</v>
      </c>
      <c r="L14" s="4">
        <f t="shared" si="3"/>
        <v>99.198999999999998</v>
      </c>
      <c r="M14" s="165">
        <f t="shared" ref="M14" si="7">(L14+L15+L16+L17+L18)/5</f>
        <v>96.396600000000007</v>
      </c>
      <c r="N14" s="199"/>
      <c r="P14" s="12">
        <v>99.13</v>
      </c>
      <c r="Q14" s="32">
        <f t="shared" si="4"/>
        <v>20</v>
      </c>
      <c r="R14" s="12">
        <f t="shared" si="5"/>
        <v>49.599499999999999</v>
      </c>
    </row>
    <row r="15" spans="1:25" x14ac:dyDescent="0.4">
      <c r="B15" s="12"/>
      <c r="E15" s="12"/>
      <c r="G15" s="7">
        <v>2</v>
      </c>
      <c r="H15" s="164"/>
      <c r="I15" s="4">
        <v>49.1</v>
      </c>
      <c r="J15" s="4">
        <f t="shared" si="2"/>
        <v>29.774999999999999</v>
      </c>
      <c r="K15" s="13">
        <v>14</v>
      </c>
      <c r="L15" s="4">
        <f t="shared" si="3"/>
        <v>92.875</v>
      </c>
      <c r="M15" s="166"/>
      <c r="N15" s="199"/>
      <c r="P15" s="12">
        <v>99.25</v>
      </c>
      <c r="Q15" s="32">
        <f t="shared" si="4"/>
        <v>14</v>
      </c>
      <c r="R15" s="12">
        <f t="shared" si="5"/>
        <v>46.4375</v>
      </c>
    </row>
    <row r="16" spans="1:25" x14ac:dyDescent="0.4">
      <c r="G16" s="7">
        <v>3</v>
      </c>
      <c r="H16" s="164"/>
      <c r="I16" s="4">
        <v>49.12</v>
      </c>
      <c r="J16" s="4">
        <f t="shared" si="2"/>
        <v>29.663999999999998</v>
      </c>
      <c r="K16" s="13">
        <v>18</v>
      </c>
      <c r="L16" s="4">
        <f t="shared" si="3"/>
        <v>96.783999999999992</v>
      </c>
      <c r="M16" s="166"/>
      <c r="N16" s="199"/>
      <c r="P16" s="12">
        <v>98.88</v>
      </c>
      <c r="Q16" s="32">
        <f t="shared" si="4"/>
        <v>18</v>
      </c>
      <c r="R16" s="12">
        <f t="shared" si="5"/>
        <v>48.391999999999996</v>
      </c>
    </row>
    <row r="17" spans="7:22" x14ac:dyDescent="0.4">
      <c r="G17" s="7">
        <v>4</v>
      </c>
      <c r="H17" s="164"/>
      <c r="I17" s="4">
        <v>49.15</v>
      </c>
      <c r="J17" s="4">
        <f t="shared" si="2"/>
        <v>29.774999999999999</v>
      </c>
      <c r="K17" s="13">
        <v>18</v>
      </c>
      <c r="L17" s="4">
        <f t="shared" si="3"/>
        <v>96.924999999999997</v>
      </c>
      <c r="M17" s="166"/>
      <c r="N17" s="199"/>
      <c r="P17" s="12">
        <v>99.25</v>
      </c>
      <c r="Q17" s="32">
        <f t="shared" si="4"/>
        <v>18</v>
      </c>
      <c r="R17" s="12">
        <f t="shared" si="5"/>
        <v>48.462499999999999</v>
      </c>
    </row>
    <row r="18" spans="7:22" x14ac:dyDescent="0.4">
      <c r="G18" s="7">
        <v>5</v>
      </c>
      <c r="H18" s="164"/>
      <c r="I18" s="4">
        <v>49.35</v>
      </c>
      <c r="J18" s="4">
        <f t="shared" si="2"/>
        <v>29.85</v>
      </c>
      <c r="K18" s="13">
        <v>17</v>
      </c>
      <c r="L18" s="4">
        <f t="shared" si="3"/>
        <v>96.2</v>
      </c>
      <c r="M18" s="168"/>
      <c r="N18" s="199"/>
      <c r="P18" s="12">
        <v>99.5</v>
      </c>
      <c r="Q18" s="32">
        <f t="shared" si="4"/>
        <v>17</v>
      </c>
      <c r="R18" s="12">
        <f t="shared" si="5"/>
        <v>48.1</v>
      </c>
      <c r="S18" s="12">
        <f>R14+R15+R16+R17+R18</f>
        <v>240.9915</v>
      </c>
    </row>
    <row r="19" spans="7:22" x14ac:dyDescent="0.4">
      <c r="G19" s="37">
        <v>1</v>
      </c>
      <c r="H19" s="164">
        <v>4</v>
      </c>
      <c r="I19" s="4">
        <v>49.13</v>
      </c>
      <c r="J19" s="4">
        <f t="shared" si="2"/>
        <v>29.7</v>
      </c>
      <c r="K19" s="13">
        <v>17</v>
      </c>
      <c r="L19" s="15">
        <f t="shared" si="3"/>
        <v>95.83</v>
      </c>
      <c r="M19" s="165">
        <f t="shared" ref="M19" si="8">(L19+L20+L21+L22+L23)/5</f>
        <v>95.825800000000015</v>
      </c>
      <c r="N19" s="199"/>
      <c r="P19" s="12">
        <v>99</v>
      </c>
      <c r="Q19" s="32">
        <f t="shared" si="4"/>
        <v>17</v>
      </c>
      <c r="R19" s="12">
        <f t="shared" si="5"/>
        <v>47.914999999999999</v>
      </c>
    </row>
    <row r="20" spans="7:22" x14ac:dyDescent="0.4">
      <c r="G20" s="7">
        <v>2</v>
      </c>
      <c r="H20" s="164"/>
      <c r="I20" s="4">
        <v>49.24</v>
      </c>
      <c r="J20" s="4">
        <f t="shared" si="2"/>
        <v>29.738999999999997</v>
      </c>
      <c r="K20" s="13">
        <v>18</v>
      </c>
      <c r="L20" s="3">
        <f t="shared" si="3"/>
        <v>96.978999999999999</v>
      </c>
      <c r="M20" s="166"/>
      <c r="N20" s="199"/>
      <c r="P20" s="12">
        <v>99.13</v>
      </c>
      <c r="Q20" s="32">
        <f t="shared" si="4"/>
        <v>18</v>
      </c>
      <c r="R20" s="12">
        <f t="shared" si="5"/>
        <v>48.4895</v>
      </c>
      <c r="U20" s="12">
        <v>95</v>
      </c>
      <c r="V20" s="12"/>
    </row>
    <row r="21" spans="7:22" x14ac:dyDescent="0.4">
      <c r="G21" s="37">
        <v>3</v>
      </c>
      <c r="H21" s="164"/>
      <c r="I21" s="4">
        <v>48.95</v>
      </c>
      <c r="J21" s="4">
        <f t="shared" si="2"/>
        <v>29.85</v>
      </c>
      <c r="K21" s="13">
        <v>18</v>
      </c>
      <c r="L21" s="3">
        <f t="shared" si="3"/>
        <v>96.800000000000011</v>
      </c>
      <c r="M21" s="166"/>
      <c r="N21" s="199"/>
      <c r="P21" s="12">
        <v>99.5</v>
      </c>
      <c r="Q21" s="32">
        <f t="shared" si="4"/>
        <v>18</v>
      </c>
      <c r="R21" s="12">
        <f t="shared" si="5"/>
        <v>48.400000000000006</v>
      </c>
      <c r="U21" s="12">
        <v>98.5</v>
      </c>
      <c r="V21" s="12"/>
    </row>
    <row r="22" spans="7:22" x14ac:dyDescent="0.4">
      <c r="G22" s="7">
        <v>4</v>
      </c>
      <c r="H22" s="164"/>
      <c r="I22" s="4">
        <v>48.98</v>
      </c>
      <c r="J22" s="4">
        <f t="shared" si="2"/>
        <v>29.625</v>
      </c>
      <c r="K22" s="13">
        <v>16</v>
      </c>
      <c r="L22" s="3">
        <f t="shared" si="3"/>
        <v>94.60499999999999</v>
      </c>
      <c r="M22" s="166"/>
      <c r="N22" s="199"/>
      <c r="P22" s="12">
        <v>98.75</v>
      </c>
      <c r="Q22" s="32">
        <f t="shared" si="4"/>
        <v>16</v>
      </c>
      <c r="R22" s="12">
        <f t="shared" si="5"/>
        <v>47.302499999999995</v>
      </c>
      <c r="U22" s="12">
        <v>96.4</v>
      </c>
      <c r="V22" s="12"/>
    </row>
    <row r="23" spans="7:22" ht="21" customHeight="1" x14ac:dyDescent="0.4">
      <c r="G23" s="7">
        <v>5</v>
      </c>
      <c r="H23" s="164"/>
      <c r="I23" s="4">
        <v>48.99</v>
      </c>
      <c r="J23" s="4">
        <f t="shared" si="2"/>
        <v>29.925000000000001</v>
      </c>
      <c r="K23" s="13">
        <v>16</v>
      </c>
      <c r="L23" s="3">
        <f t="shared" si="3"/>
        <v>94.915000000000006</v>
      </c>
      <c r="M23" s="168"/>
      <c r="N23" s="199"/>
      <c r="P23" s="12">
        <v>99.75</v>
      </c>
      <c r="Q23" s="32">
        <f t="shared" si="4"/>
        <v>16</v>
      </c>
      <c r="R23" s="12">
        <f t="shared" si="5"/>
        <v>47.457500000000003</v>
      </c>
      <c r="S23" s="12">
        <f>R19+R20+R21+R22+R23</f>
        <v>239.56450000000004</v>
      </c>
      <c r="U23" s="12">
        <v>95.83</v>
      </c>
      <c r="V23" s="12"/>
    </row>
  </sheetData>
  <mergeCells count="24">
    <mergeCell ref="N14:N18"/>
    <mergeCell ref="N19:N23"/>
    <mergeCell ref="H4:H8"/>
    <mergeCell ref="H9:H13"/>
    <mergeCell ref="H14:H18"/>
    <mergeCell ref="H19:H23"/>
    <mergeCell ref="M4:M8"/>
    <mergeCell ref="M9:M13"/>
    <mergeCell ref="M14:M18"/>
    <mergeCell ref="M19:M23"/>
    <mergeCell ref="E11:F11"/>
    <mergeCell ref="A1:F1"/>
    <mergeCell ref="G1:N1"/>
    <mergeCell ref="G2:H2"/>
    <mergeCell ref="I2:J2"/>
    <mergeCell ref="K2:K3"/>
    <mergeCell ref="L2:L3"/>
    <mergeCell ref="M2:M3"/>
    <mergeCell ref="N2:N3"/>
    <mergeCell ref="N4:N8"/>
    <mergeCell ref="N9:N13"/>
    <mergeCell ref="E9:F9"/>
    <mergeCell ref="E12:F12"/>
    <mergeCell ref="E13:F13"/>
  </mergeCells>
  <phoneticPr fontId="1" type="noConversion"/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C8036-D1B8-4CBB-B49F-BAE9AF287A4A}">
  <dimension ref="A1:J28"/>
  <sheetViews>
    <sheetView topLeftCell="A4" zoomScale="90" zoomScaleNormal="90" workbookViewId="0">
      <selection activeCell="J12" sqref="J12"/>
    </sheetView>
  </sheetViews>
  <sheetFormatPr defaultRowHeight="21" x14ac:dyDescent="0.4"/>
  <cols>
    <col min="1" max="1" width="12.69921875" customWidth="1"/>
    <col min="2" max="2" width="11.8984375" customWidth="1"/>
    <col min="3" max="3" width="18" customWidth="1"/>
    <col min="4" max="4" width="16.796875" customWidth="1"/>
    <col min="5" max="5" width="19.59765625" style="12" customWidth="1"/>
    <col min="6" max="6" width="36.09765625" customWidth="1"/>
    <col min="7" max="7" width="14.8984375" style="29" customWidth="1"/>
  </cols>
  <sheetData>
    <row r="1" spans="1:10" x14ac:dyDescent="0.4">
      <c r="A1" s="159" t="s">
        <v>28</v>
      </c>
      <c r="B1" s="159"/>
      <c r="C1" s="159"/>
      <c r="D1" s="159"/>
      <c r="E1" s="159"/>
      <c r="F1" s="159"/>
      <c r="G1" s="159"/>
    </row>
    <row r="2" spans="1:10" x14ac:dyDescent="0.4">
      <c r="A2" s="174" t="s">
        <v>14</v>
      </c>
      <c r="B2" s="174"/>
      <c r="C2" s="201" t="s">
        <v>100</v>
      </c>
      <c r="D2" s="201" t="s">
        <v>101</v>
      </c>
      <c r="E2" s="202" t="s">
        <v>102</v>
      </c>
      <c r="F2" s="203" t="s">
        <v>13</v>
      </c>
      <c r="G2" s="200" t="s">
        <v>104</v>
      </c>
    </row>
    <row r="3" spans="1:10" x14ac:dyDescent="0.4">
      <c r="A3" s="23" t="s">
        <v>15</v>
      </c>
      <c r="B3" s="23" t="s">
        <v>16</v>
      </c>
      <c r="C3" s="201"/>
      <c r="D3" s="201"/>
      <c r="E3" s="202"/>
      <c r="F3" s="203"/>
      <c r="G3" s="200"/>
    </row>
    <row r="4" spans="1:10" x14ac:dyDescent="0.4">
      <c r="A4" s="7">
        <v>1</v>
      </c>
      <c r="B4" s="216">
        <v>1</v>
      </c>
      <c r="C4" s="39">
        <v>16</v>
      </c>
      <c r="D4" s="39">
        <f>(C4*100)/20</f>
        <v>80</v>
      </c>
      <c r="E4" s="204">
        <f>(D4+D5+D6+D7+D8)/5</f>
        <v>87</v>
      </c>
      <c r="F4" s="207" t="s">
        <v>135</v>
      </c>
      <c r="G4" s="29">
        <f>D4/5</f>
        <v>16</v>
      </c>
    </row>
    <row r="5" spans="1:10" x14ac:dyDescent="0.4">
      <c r="A5" s="7">
        <v>2</v>
      </c>
      <c r="B5" s="217"/>
      <c r="C5" s="39">
        <v>19</v>
      </c>
      <c r="D5" s="39">
        <f t="shared" ref="D5:D8" si="0">(C5*100)/20</f>
        <v>95</v>
      </c>
      <c r="E5" s="205"/>
      <c r="F5" s="208"/>
      <c r="G5" s="29">
        <f t="shared" ref="G5:G23" si="1">D5/5</f>
        <v>19</v>
      </c>
    </row>
    <row r="6" spans="1:10" x14ac:dyDescent="0.4">
      <c r="A6" s="7">
        <v>3</v>
      </c>
      <c r="B6" s="217"/>
      <c r="C6" s="39">
        <v>17</v>
      </c>
      <c r="D6" s="39">
        <f t="shared" si="0"/>
        <v>85</v>
      </c>
      <c r="E6" s="205"/>
      <c r="F6" s="208"/>
      <c r="G6" s="29">
        <f t="shared" si="1"/>
        <v>17</v>
      </c>
    </row>
    <row r="7" spans="1:10" x14ac:dyDescent="0.4">
      <c r="A7" s="7">
        <v>4</v>
      </c>
      <c r="B7" s="217"/>
      <c r="C7" s="39">
        <v>18</v>
      </c>
      <c r="D7" s="39">
        <f t="shared" si="0"/>
        <v>90</v>
      </c>
      <c r="E7" s="205"/>
      <c r="F7" s="208"/>
      <c r="G7" s="29">
        <f t="shared" si="1"/>
        <v>18</v>
      </c>
    </row>
    <row r="8" spans="1:10" x14ac:dyDescent="0.4">
      <c r="A8" s="7">
        <v>5</v>
      </c>
      <c r="B8" s="218"/>
      <c r="C8" s="39">
        <v>17</v>
      </c>
      <c r="D8" s="39">
        <f t="shared" si="0"/>
        <v>85</v>
      </c>
      <c r="E8" s="206"/>
      <c r="F8" s="209"/>
      <c r="G8" s="29">
        <f t="shared" si="1"/>
        <v>17</v>
      </c>
      <c r="H8" s="12">
        <f>SUM(G4:G8)</f>
        <v>87</v>
      </c>
      <c r="J8" s="29">
        <v>87</v>
      </c>
    </row>
    <row r="9" spans="1:10" x14ac:dyDescent="0.4">
      <c r="A9" s="7">
        <v>1</v>
      </c>
      <c r="B9" s="216">
        <v>2</v>
      </c>
      <c r="C9" s="39">
        <v>19</v>
      </c>
      <c r="D9" s="39">
        <f t="shared" ref="D9:D23" si="2">(C9*100)/20</f>
        <v>95</v>
      </c>
      <c r="E9" s="204">
        <f t="shared" ref="E9" si="3">(D9+D10+D11+D12+D13)/5</f>
        <v>93</v>
      </c>
      <c r="F9" s="210" t="s">
        <v>34</v>
      </c>
      <c r="G9" s="29">
        <f t="shared" si="1"/>
        <v>19</v>
      </c>
      <c r="J9" s="29">
        <v>93</v>
      </c>
    </row>
    <row r="10" spans="1:10" x14ac:dyDescent="0.4">
      <c r="A10" s="7">
        <v>2</v>
      </c>
      <c r="B10" s="217"/>
      <c r="C10" s="39">
        <v>18</v>
      </c>
      <c r="D10" s="39">
        <f t="shared" si="2"/>
        <v>90</v>
      </c>
      <c r="E10" s="205"/>
      <c r="F10" s="211"/>
      <c r="G10" s="29">
        <f t="shared" si="1"/>
        <v>18</v>
      </c>
      <c r="J10" s="29">
        <v>84</v>
      </c>
    </row>
    <row r="11" spans="1:10" x14ac:dyDescent="0.4">
      <c r="A11" s="7">
        <v>3</v>
      </c>
      <c r="B11" s="217"/>
      <c r="C11" s="39">
        <v>18</v>
      </c>
      <c r="D11" s="39">
        <f t="shared" si="2"/>
        <v>90</v>
      </c>
      <c r="E11" s="205"/>
      <c r="F11" s="211"/>
      <c r="G11" s="29">
        <f t="shared" si="1"/>
        <v>18</v>
      </c>
      <c r="J11" s="29">
        <v>81</v>
      </c>
    </row>
    <row r="12" spans="1:10" x14ac:dyDescent="0.4">
      <c r="A12" s="7">
        <v>4</v>
      </c>
      <c r="B12" s="217"/>
      <c r="C12" s="39">
        <v>19</v>
      </c>
      <c r="D12" s="39">
        <f t="shared" si="2"/>
        <v>95</v>
      </c>
      <c r="E12" s="205"/>
      <c r="F12" s="211"/>
      <c r="G12" s="29">
        <f t="shared" si="1"/>
        <v>19</v>
      </c>
      <c r="J12" s="29">
        <f>AVERAGE(J8:J11)</f>
        <v>86.25</v>
      </c>
    </row>
    <row r="13" spans="1:10" x14ac:dyDescent="0.4">
      <c r="A13" s="7">
        <v>5</v>
      </c>
      <c r="B13" s="218"/>
      <c r="C13" s="39">
        <v>19</v>
      </c>
      <c r="D13" s="39">
        <f t="shared" si="2"/>
        <v>95</v>
      </c>
      <c r="E13" s="206"/>
      <c r="F13" s="212"/>
      <c r="G13" s="29">
        <f t="shared" si="1"/>
        <v>19</v>
      </c>
      <c r="H13" s="12">
        <f>SUM(G9:G13)</f>
        <v>93</v>
      </c>
      <c r="J13" s="12"/>
    </row>
    <row r="14" spans="1:10" x14ac:dyDescent="0.4">
      <c r="A14" s="7">
        <v>1</v>
      </c>
      <c r="B14" s="216">
        <v>3</v>
      </c>
      <c r="C14" s="39">
        <v>19</v>
      </c>
      <c r="D14" s="39">
        <f t="shared" si="2"/>
        <v>95</v>
      </c>
      <c r="E14" s="204">
        <f t="shared" ref="E14" si="4">(D14+D15+D16+D17+D18)/5</f>
        <v>84</v>
      </c>
      <c r="F14" s="213" t="s">
        <v>63</v>
      </c>
      <c r="G14" s="29">
        <f t="shared" si="1"/>
        <v>19</v>
      </c>
    </row>
    <row r="15" spans="1:10" x14ac:dyDescent="0.4">
      <c r="A15" s="7">
        <v>2</v>
      </c>
      <c r="B15" s="217"/>
      <c r="C15" s="50">
        <v>15</v>
      </c>
      <c r="D15" s="39">
        <f t="shared" si="2"/>
        <v>75</v>
      </c>
      <c r="E15" s="205"/>
      <c r="F15" s="214"/>
      <c r="G15" s="29">
        <f t="shared" si="1"/>
        <v>15</v>
      </c>
    </row>
    <row r="16" spans="1:10" x14ac:dyDescent="0.4">
      <c r="A16" s="7">
        <v>3</v>
      </c>
      <c r="B16" s="217"/>
      <c r="C16" s="39">
        <v>17</v>
      </c>
      <c r="D16" s="39">
        <f t="shared" si="2"/>
        <v>85</v>
      </c>
      <c r="E16" s="205"/>
      <c r="F16" s="214"/>
      <c r="G16" s="29">
        <f t="shared" si="1"/>
        <v>17</v>
      </c>
    </row>
    <row r="17" spans="1:10" x14ac:dyDescent="0.4">
      <c r="A17" s="7">
        <v>4</v>
      </c>
      <c r="B17" s="217"/>
      <c r="C17" s="39">
        <v>16</v>
      </c>
      <c r="D17" s="39">
        <f t="shared" si="2"/>
        <v>80</v>
      </c>
      <c r="E17" s="205"/>
      <c r="F17" s="214"/>
      <c r="G17" s="29">
        <f t="shared" si="1"/>
        <v>16</v>
      </c>
    </row>
    <row r="18" spans="1:10" x14ac:dyDescent="0.4">
      <c r="A18" s="7">
        <v>5</v>
      </c>
      <c r="B18" s="217"/>
      <c r="C18" s="39">
        <v>17</v>
      </c>
      <c r="D18" s="39">
        <f t="shared" si="2"/>
        <v>85</v>
      </c>
      <c r="E18" s="206"/>
      <c r="F18" s="215"/>
      <c r="G18" s="29">
        <f t="shared" si="1"/>
        <v>17</v>
      </c>
      <c r="H18" s="12">
        <f>SUM(G14:G18)</f>
        <v>84</v>
      </c>
    </row>
    <row r="19" spans="1:10" x14ac:dyDescent="0.4">
      <c r="A19" s="7">
        <v>1</v>
      </c>
      <c r="B19" s="164">
        <v>4</v>
      </c>
      <c r="C19" s="39">
        <v>17</v>
      </c>
      <c r="D19" s="39">
        <f t="shared" si="2"/>
        <v>85</v>
      </c>
      <c r="E19" s="204">
        <f t="shared" ref="E19" si="5">(D19+D20+D21+D22+D23)/5</f>
        <v>81</v>
      </c>
      <c r="F19" s="213" t="s">
        <v>39</v>
      </c>
      <c r="G19" s="29">
        <f t="shared" si="1"/>
        <v>17</v>
      </c>
      <c r="J19" s="29"/>
    </row>
    <row r="20" spans="1:10" x14ac:dyDescent="0.4">
      <c r="A20" s="7">
        <v>2</v>
      </c>
      <c r="B20" s="164"/>
      <c r="C20" s="39">
        <v>16</v>
      </c>
      <c r="D20" s="39">
        <f t="shared" si="2"/>
        <v>80</v>
      </c>
      <c r="E20" s="205"/>
      <c r="F20" s="214"/>
      <c r="G20" s="29">
        <f t="shared" si="1"/>
        <v>16</v>
      </c>
      <c r="J20" s="29"/>
    </row>
    <row r="21" spans="1:10" x14ac:dyDescent="0.4">
      <c r="A21" s="7">
        <v>3</v>
      </c>
      <c r="B21" s="164"/>
      <c r="C21" s="39">
        <v>17</v>
      </c>
      <c r="D21" s="39">
        <f t="shared" si="2"/>
        <v>85</v>
      </c>
      <c r="E21" s="205"/>
      <c r="F21" s="214"/>
      <c r="G21" s="29">
        <f t="shared" si="1"/>
        <v>17</v>
      </c>
      <c r="J21" s="29"/>
    </row>
    <row r="22" spans="1:10" x14ac:dyDescent="0.4">
      <c r="A22" s="7">
        <v>4</v>
      </c>
      <c r="B22" s="164"/>
      <c r="C22" s="39">
        <v>14</v>
      </c>
      <c r="D22" s="39">
        <f t="shared" si="2"/>
        <v>70</v>
      </c>
      <c r="E22" s="205"/>
      <c r="F22" s="214"/>
      <c r="G22" s="29">
        <f t="shared" si="1"/>
        <v>14</v>
      </c>
      <c r="J22" s="29"/>
    </row>
    <row r="23" spans="1:10" x14ac:dyDescent="0.4">
      <c r="A23" s="7">
        <v>5</v>
      </c>
      <c r="B23" s="164"/>
      <c r="C23" s="39">
        <v>17</v>
      </c>
      <c r="D23" s="39">
        <f t="shared" si="2"/>
        <v>85</v>
      </c>
      <c r="E23" s="206"/>
      <c r="F23" s="215"/>
      <c r="G23" s="29">
        <f t="shared" si="1"/>
        <v>17</v>
      </c>
      <c r="H23" s="12">
        <f>SUM(G19:G23)</f>
        <v>81</v>
      </c>
      <c r="J23" s="29"/>
    </row>
    <row r="24" spans="1:10" x14ac:dyDescent="0.4">
      <c r="E24"/>
      <c r="F24" s="29" t="s">
        <v>62</v>
      </c>
    </row>
    <row r="25" spans="1:10" ht="27" customHeight="1" x14ac:dyDescent="0.4">
      <c r="D25" s="43"/>
      <c r="F25" s="66" t="s">
        <v>126</v>
      </c>
    </row>
    <row r="26" spans="1:10" x14ac:dyDescent="0.4">
      <c r="E26"/>
      <c r="F26" s="29" t="s">
        <v>74</v>
      </c>
    </row>
    <row r="27" spans="1:10" x14ac:dyDescent="0.4">
      <c r="E27"/>
      <c r="F27" s="29" t="s">
        <v>75</v>
      </c>
    </row>
    <row r="28" spans="1:10" x14ac:dyDescent="0.4">
      <c r="E28"/>
      <c r="F28" s="42" t="s">
        <v>136</v>
      </c>
    </row>
  </sheetData>
  <mergeCells count="19">
    <mergeCell ref="B19:B23"/>
    <mergeCell ref="E14:E18"/>
    <mergeCell ref="E19:E23"/>
    <mergeCell ref="F4:F8"/>
    <mergeCell ref="F9:F13"/>
    <mergeCell ref="F14:F18"/>
    <mergeCell ref="F19:F23"/>
    <mergeCell ref="B4:B8"/>
    <mergeCell ref="B9:B13"/>
    <mergeCell ref="E4:E8"/>
    <mergeCell ref="E9:E13"/>
    <mergeCell ref="B14:B18"/>
    <mergeCell ref="A1:G1"/>
    <mergeCell ref="A2:B2"/>
    <mergeCell ref="G2:G3"/>
    <mergeCell ref="C2:C3"/>
    <mergeCell ref="D2:D3"/>
    <mergeCell ref="E2:E3"/>
    <mergeCell ref="F2:F3"/>
  </mergeCells>
  <phoneticPr fontId="1" type="noConversion"/>
  <pageMargins left="0.62992125984251968" right="0.43307086614173229" top="0.55118110236220474" bottom="0.15748031496062992" header="0.31496062992125984" footer="0.31496062992125984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10909-7FFF-48E8-8021-0FAA68F15BBA}">
  <dimension ref="A1:N29"/>
  <sheetViews>
    <sheetView tabSelected="1" topLeftCell="B7" zoomScale="110" zoomScaleNormal="110" workbookViewId="0">
      <selection activeCell="F5" sqref="F5"/>
    </sheetView>
  </sheetViews>
  <sheetFormatPr defaultColWidth="8.796875" defaultRowHeight="21" x14ac:dyDescent="0.4"/>
  <cols>
    <col min="1" max="1" width="8.796875" style="1"/>
    <col min="2" max="2" width="10.5" style="1" customWidth="1"/>
    <col min="3" max="3" width="13" style="18" customWidth="1"/>
    <col min="4" max="4" width="14.19921875" style="17" customWidth="1"/>
    <col min="5" max="5" width="13.09765625" style="17" customWidth="1"/>
    <col min="6" max="6" width="14.796875" style="17" customWidth="1"/>
    <col min="7" max="7" width="12.3984375" style="2" customWidth="1"/>
    <col min="8" max="8" width="19.8984375" style="1" customWidth="1"/>
    <col min="9" max="9" width="22.796875" style="1" customWidth="1"/>
    <col min="10" max="10" width="8.796875" style="17"/>
    <col min="11" max="16384" width="8.796875" style="1"/>
  </cols>
  <sheetData>
    <row r="1" spans="1:11" x14ac:dyDescent="0.4">
      <c r="A1" s="222" t="s">
        <v>25</v>
      </c>
      <c r="B1" s="222"/>
      <c r="C1" s="222"/>
      <c r="D1" s="222"/>
      <c r="E1" s="222"/>
      <c r="F1" s="222"/>
      <c r="G1" s="222"/>
      <c r="H1" s="222"/>
      <c r="I1" s="222"/>
    </row>
    <row r="2" spans="1:11" ht="21" customHeight="1" x14ac:dyDescent="0.4">
      <c r="A2" s="189" t="s">
        <v>14</v>
      </c>
      <c r="B2" s="189"/>
      <c r="C2" s="226" t="s">
        <v>23</v>
      </c>
      <c r="D2" s="226"/>
      <c r="E2" s="226"/>
      <c r="F2" s="227"/>
      <c r="G2" s="223" t="s">
        <v>3</v>
      </c>
      <c r="H2" s="190" t="s">
        <v>103</v>
      </c>
      <c r="I2" s="223" t="s">
        <v>13</v>
      </c>
    </row>
    <row r="3" spans="1:11" x14ac:dyDescent="0.4">
      <c r="A3" s="223" t="s">
        <v>15</v>
      </c>
      <c r="B3" s="228" t="s">
        <v>16</v>
      </c>
      <c r="C3" s="15" t="s">
        <v>24</v>
      </c>
      <c r="D3" s="15" t="s">
        <v>20</v>
      </c>
      <c r="E3" s="15" t="s">
        <v>21</v>
      </c>
      <c r="F3" s="19" t="s">
        <v>22</v>
      </c>
      <c r="G3" s="224"/>
      <c r="H3" s="230"/>
      <c r="I3" s="224"/>
    </row>
    <row r="4" spans="1:11" x14ac:dyDescent="0.4">
      <c r="A4" s="225"/>
      <c r="B4" s="229"/>
      <c r="C4" s="16" t="s">
        <v>26</v>
      </c>
      <c r="D4" s="16" t="s">
        <v>26</v>
      </c>
      <c r="E4" s="16" t="s">
        <v>26</v>
      </c>
      <c r="F4" s="20" t="s">
        <v>26</v>
      </c>
      <c r="G4" s="10" t="s">
        <v>27</v>
      </c>
      <c r="H4" s="59" t="s">
        <v>26</v>
      </c>
      <c r="I4" s="225"/>
    </row>
    <row r="5" spans="1:11" x14ac:dyDescent="0.4">
      <c r="A5" s="7">
        <v>1</v>
      </c>
      <c r="B5" s="216">
        <v>1</v>
      </c>
      <c r="C5" s="4">
        <v>71.97</v>
      </c>
      <c r="D5" s="13">
        <v>73.760000000000005</v>
      </c>
      <c r="E5" s="13">
        <v>46.13</v>
      </c>
      <c r="F5" s="21"/>
      <c r="G5" s="24">
        <f>C5+D5+E5+F5</f>
        <v>191.86</v>
      </c>
      <c r="H5" s="219">
        <f>((G5+G6+G7+G8+G9)/5)/4</f>
        <v>50.594000000000008</v>
      </c>
      <c r="I5" s="210" t="s">
        <v>131</v>
      </c>
      <c r="J5" s="17">
        <f>G5/20</f>
        <v>9.593</v>
      </c>
    </row>
    <row r="6" spans="1:11" x14ac:dyDescent="0.4">
      <c r="A6" s="7">
        <v>2</v>
      </c>
      <c r="B6" s="217"/>
      <c r="C6" s="4">
        <v>71.42</v>
      </c>
      <c r="D6" s="13">
        <v>65.319999999999993</v>
      </c>
      <c r="E6" s="13">
        <v>45.1</v>
      </c>
      <c r="F6" s="21"/>
      <c r="G6" s="24">
        <f t="shared" ref="G6:G17" si="0">C6+D6+E6+F6</f>
        <v>181.84</v>
      </c>
      <c r="H6" s="220"/>
      <c r="I6" s="211"/>
      <c r="J6" s="17">
        <f t="shared" ref="J6:J24" si="1">G6/20</f>
        <v>9.0920000000000005</v>
      </c>
    </row>
    <row r="7" spans="1:11" x14ac:dyDescent="0.4">
      <c r="A7" s="7">
        <v>3</v>
      </c>
      <c r="B7" s="217"/>
      <c r="C7" s="4">
        <v>86.81</v>
      </c>
      <c r="D7" s="13">
        <v>81.34</v>
      </c>
      <c r="E7" s="13">
        <v>66.290000000000006</v>
      </c>
      <c r="F7" s="21"/>
      <c r="G7" s="24">
        <f t="shared" si="0"/>
        <v>234.44</v>
      </c>
      <c r="H7" s="220"/>
      <c r="I7" s="211"/>
      <c r="J7" s="17">
        <f t="shared" si="1"/>
        <v>11.722</v>
      </c>
    </row>
    <row r="8" spans="1:11" x14ac:dyDescent="0.4">
      <c r="A8" s="7">
        <v>4</v>
      </c>
      <c r="B8" s="217"/>
      <c r="C8" s="4">
        <v>70.72</v>
      </c>
      <c r="D8" s="13">
        <v>70.94</v>
      </c>
      <c r="E8" s="13">
        <v>46.59</v>
      </c>
      <c r="F8" s="21"/>
      <c r="G8" s="24">
        <f t="shared" si="0"/>
        <v>188.25</v>
      </c>
      <c r="H8" s="220"/>
      <c r="I8" s="211"/>
      <c r="J8" s="17">
        <f t="shared" si="1"/>
        <v>9.4124999999999996</v>
      </c>
    </row>
    <row r="9" spans="1:11" x14ac:dyDescent="0.4">
      <c r="A9" s="7">
        <v>5</v>
      </c>
      <c r="B9" s="217"/>
      <c r="C9" s="4">
        <v>76.05</v>
      </c>
      <c r="D9" s="13">
        <v>82.92</v>
      </c>
      <c r="E9" s="13">
        <v>56.52</v>
      </c>
      <c r="F9" s="21"/>
      <c r="G9" s="24">
        <f t="shared" si="0"/>
        <v>215.49</v>
      </c>
      <c r="H9" s="221"/>
      <c r="I9" s="212"/>
      <c r="J9" s="17">
        <f t="shared" si="1"/>
        <v>10.7745</v>
      </c>
      <c r="K9" s="17">
        <f>SUM(J5,J6,J7,J8,J9)</f>
        <v>50.594000000000008</v>
      </c>
    </row>
    <row r="10" spans="1:11" x14ac:dyDescent="0.4">
      <c r="A10" s="7">
        <v>1</v>
      </c>
      <c r="B10" s="164">
        <v>2</v>
      </c>
      <c r="C10" s="13">
        <v>77.98</v>
      </c>
      <c r="D10" s="13">
        <v>78.78</v>
      </c>
      <c r="E10" s="13">
        <v>54.32</v>
      </c>
      <c r="F10" s="14"/>
      <c r="G10" s="24">
        <f t="shared" si="0"/>
        <v>211.07999999999998</v>
      </c>
      <c r="H10" s="219">
        <f t="shared" ref="H10" si="2">((G10+G11+G12+G13+G14)/5)/4</f>
        <v>52.1845</v>
      </c>
      <c r="I10" s="213" t="s">
        <v>38</v>
      </c>
      <c r="J10" s="17">
        <f t="shared" si="1"/>
        <v>10.553999999999998</v>
      </c>
    </row>
    <row r="11" spans="1:11" x14ac:dyDescent="0.4">
      <c r="A11" s="7">
        <v>2</v>
      </c>
      <c r="B11" s="164"/>
      <c r="C11" s="13">
        <v>70.75</v>
      </c>
      <c r="D11" s="13">
        <v>78.48</v>
      </c>
      <c r="E11" s="13">
        <v>39.450000000000003</v>
      </c>
      <c r="F11" s="14"/>
      <c r="G11" s="24">
        <f t="shared" si="0"/>
        <v>188.68</v>
      </c>
      <c r="H11" s="220"/>
      <c r="I11" s="214"/>
      <c r="J11" s="17">
        <f t="shared" si="1"/>
        <v>9.4340000000000011</v>
      </c>
    </row>
    <row r="12" spans="1:11" x14ac:dyDescent="0.4">
      <c r="A12" s="7">
        <v>3</v>
      </c>
      <c r="B12" s="164"/>
      <c r="C12" s="13">
        <v>76.75</v>
      </c>
      <c r="D12" s="13">
        <v>82.06</v>
      </c>
      <c r="E12" s="13">
        <v>37.54</v>
      </c>
      <c r="F12" s="14"/>
      <c r="G12" s="24">
        <f t="shared" si="0"/>
        <v>196.35</v>
      </c>
      <c r="H12" s="220"/>
      <c r="I12" s="214"/>
      <c r="J12" s="17">
        <f t="shared" si="1"/>
        <v>9.817499999999999</v>
      </c>
    </row>
    <row r="13" spans="1:11" x14ac:dyDescent="0.4">
      <c r="A13" s="7">
        <v>4</v>
      </c>
      <c r="B13" s="164"/>
      <c r="C13" s="13">
        <v>83.88</v>
      </c>
      <c r="D13" s="13">
        <v>86.88</v>
      </c>
      <c r="E13" s="13">
        <v>71.86</v>
      </c>
      <c r="F13" s="14"/>
      <c r="G13" s="24">
        <f t="shared" si="0"/>
        <v>242.62</v>
      </c>
      <c r="H13" s="220"/>
      <c r="I13" s="214"/>
      <c r="J13" s="17">
        <f t="shared" si="1"/>
        <v>12.131</v>
      </c>
    </row>
    <row r="14" spans="1:11" x14ac:dyDescent="0.4">
      <c r="A14" s="7">
        <v>5</v>
      </c>
      <c r="B14" s="164"/>
      <c r="C14" s="4">
        <v>71.239999999999995</v>
      </c>
      <c r="D14" s="4">
        <v>75.78</v>
      </c>
      <c r="E14" s="4">
        <v>57.94</v>
      </c>
      <c r="F14" s="14"/>
      <c r="G14" s="24">
        <f t="shared" si="0"/>
        <v>204.95999999999998</v>
      </c>
      <c r="H14" s="221"/>
      <c r="I14" s="215"/>
      <c r="J14" s="17">
        <f t="shared" si="1"/>
        <v>10.247999999999999</v>
      </c>
      <c r="K14" s="17">
        <f>SUM(J10,J11,J12,J13,J14)</f>
        <v>52.184499999999993</v>
      </c>
    </row>
    <row r="15" spans="1:11" x14ac:dyDescent="0.4">
      <c r="A15" s="7">
        <v>1</v>
      </c>
      <c r="B15" s="164">
        <v>3</v>
      </c>
      <c r="C15" s="13">
        <v>52.9</v>
      </c>
      <c r="D15" s="13">
        <v>69.739999999999995</v>
      </c>
      <c r="E15" s="13">
        <v>25.64</v>
      </c>
      <c r="F15" s="14"/>
      <c r="G15" s="24">
        <f t="shared" si="0"/>
        <v>148.27999999999997</v>
      </c>
      <c r="H15" s="219">
        <f t="shared" ref="H15" si="3">((G15+G16+G17+G18+G19)/5)/4</f>
        <v>42.902500000000003</v>
      </c>
      <c r="I15" s="213" t="s">
        <v>61</v>
      </c>
      <c r="J15" s="17">
        <f t="shared" si="1"/>
        <v>7.4139999999999988</v>
      </c>
    </row>
    <row r="16" spans="1:11" x14ac:dyDescent="0.4">
      <c r="A16" s="7">
        <v>2</v>
      </c>
      <c r="B16" s="164"/>
      <c r="C16" s="13">
        <v>68.56</v>
      </c>
      <c r="D16" s="13">
        <v>70.34</v>
      </c>
      <c r="E16" s="13">
        <v>37.729999999999997</v>
      </c>
      <c r="F16" s="14"/>
      <c r="G16" s="24">
        <f t="shared" si="0"/>
        <v>176.63</v>
      </c>
      <c r="H16" s="220"/>
      <c r="I16" s="214"/>
      <c r="J16" s="17">
        <f t="shared" si="1"/>
        <v>8.8315000000000001</v>
      </c>
    </row>
    <row r="17" spans="1:14" x14ac:dyDescent="0.4">
      <c r="A17" s="7">
        <v>3</v>
      </c>
      <c r="B17" s="164"/>
      <c r="C17" s="13">
        <v>64.989999999999995</v>
      </c>
      <c r="D17" s="13">
        <v>61.2</v>
      </c>
      <c r="E17" s="13">
        <v>38.159999999999997</v>
      </c>
      <c r="F17" s="14"/>
      <c r="G17" s="24">
        <f t="shared" si="0"/>
        <v>164.35</v>
      </c>
      <c r="H17" s="220"/>
      <c r="I17" s="214"/>
      <c r="J17" s="17">
        <f t="shared" si="1"/>
        <v>8.2174999999999994</v>
      </c>
    </row>
    <row r="18" spans="1:14" x14ac:dyDescent="0.4">
      <c r="A18" s="7">
        <v>4</v>
      </c>
      <c r="B18" s="164"/>
      <c r="C18" s="13">
        <v>69.34</v>
      </c>
      <c r="D18" s="13">
        <v>73.400000000000006</v>
      </c>
      <c r="E18" s="13">
        <v>52.12</v>
      </c>
      <c r="F18" s="14"/>
      <c r="G18" s="24">
        <f>C18+D17+E18+F18</f>
        <v>182.66000000000003</v>
      </c>
      <c r="H18" s="220"/>
      <c r="I18" s="214"/>
      <c r="J18" s="17">
        <f t="shared" si="1"/>
        <v>9.1330000000000009</v>
      </c>
    </row>
    <row r="19" spans="1:14" x14ac:dyDescent="0.4">
      <c r="A19" s="7">
        <v>5</v>
      </c>
      <c r="B19" s="164"/>
      <c r="C19" s="13">
        <v>69.239999999999995</v>
      </c>
      <c r="D19" s="13">
        <v>70.94</v>
      </c>
      <c r="E19" s="13">
        <v>43.49</v>
      </c>
      <c r="F19" s="14"/>
      <c r="G19" s="24">
        <f>C19+D18+E19+F19</f>
        <v>186.13</v>
      </c>
      <c r="H19" s="221"/>
      <c r="I19" s="215"/>
      <c r="J19" s="17">
        <f t="shared" si="1"/>
        <v>9.3064999999999998</v>
      </c>
      <c r="K19" s="17">
        <f>SUM(J15,J16,J17,J18,J19)</f>
        <v>42.902500000000003</v>
      </c>
      <c r="N19" s="1">
        <v>75.989999999999995</v>
      </c>
    </row>
    <row r="20" spans="1:14" x14ac:dyDescent="0.4">
      <c r="A20" s="7">
        <v>1</v>
      </c>
      <c r="B20" s="217">
        <v>4</v>
      </c>
      <c r="C20" s="13">
        <v>62.65</v>
      </c>
      <c r="D20" s="18">
        <v>67.260000000000005</v>
      </c>
      <c r="E20" s="13">
        <v>33.5</v>
      </c>
      <c r="F20" s="14"/>
      <c r="G20" s="24">
        <f>C20+D19+E20+F20</f>
        <v>167.09</v>
      </c>
      <c r="H20" s="219">
        <f t="shared" ref="H20" si="4">((G20+G21+G22+G23+G24)/5)/4</f>
        <v>47.327500000000001</v>
      </c>
      <c r="I20" s="213" t="s">
        <v>60</v>
      </c>
      <c r="J20" s="17">
        <f t="shared" si="1"/>
        <v>8.3544999999999998</v>
      </c>
      <c r="N20" s="1">
        <v>75.23</v>
      </c>
    </row>
    <row r="21" spans="1:14" x14ac:dyDescent="0.4">
      <c r="A21" s="7">
        <v>2</v>
      </c>
      <c r="B21" s="217"/>
      <c r="C21" s="13">
        <v>80.459999999999994</v>
      </c>
      <c r="D21" s="13">
        <v>80.180000000000007</v>
      </c>
      <c r="E21" s="13">
        <v>67.819999999999993</v>
      </c>
      <c r="F21" s="14"/>
      <c r="G21" s="24">
        <f t="shared" ref="G21:G24" si="5">C21+D21+E21+F21</f>
        <v>228.45999999999998</v>
      </c>
      <c r="H21" s="220"/>
      <c r="I21" s="214"/>
      <c r="J21" s="17">
        <f t="shared" si="1"/>
        <v>11.422999999999998</v>
      </c>
      <c r="N21" s="1">
        <v>67.53</v>
      </c>
    </row>
    <row r="22" spans="1:14" x14ac:dyDescent="0.4">
      <c r="A22" s="7">
        <v>3</v>
      </c>
      <c r="B22" s="217"/>
      <c r="C22" s="13">
        <v>72.44</v>
      </c>
      <c r="D22" s="13">
        <v>74.38</v>
      </c>
      <c r="E22" s="13">
        <v>54.7</v>
      </c>
      <c r="F22" s="14"/>
      <c r="G22" s="24">
        <f t="shared" si="5"/>
        <v>201.51999999999998</v>
      </c>
      <c r="H22" s="220"/>
      <c r="I22" s="214"/>
      <c r="J22" s="17">
        <f t="shared" si="1"/>
        <v>10.075999999999999</v>
      </c>
      <c r="N22" s="1">
        <v>74.12</v>
      </c>
    </row>
    <row r="23" spans="1:14" x14ac:dyDescent="0.4">
      <c r="A23" s="7">
        <v>4</v>
      </c>
      <c r="B23" s="217"/>
      <c r="C23" s="13">
        <v>67.209999999999994</v>
      </c>
      <c r="D23" s="13">
        <v>70.02</v>
      </c>
      <c r="E23" s="13">
        <v>43.81</v>
      </c>
      <c r="F23" s="14"/>
      <c r="G23" s="24">
        <f t="shared" si="5"/>
        <v>181.04</v>
      </c>
      <c r="H23" s="220"/>
      <c r="I23" s="214"/>
      <c r="J23" s="17">
        <f t="shared" si="1"/>
        <v>9.0519999999999996</v>
      </c>
      <c r="M23" s="17"/>
    </row>
    <row r="24" spans="1:14" x14ac:dyDescent="0.4">
      <c r="A24" s="7">
        <v>5</v>
      </c>
      <c r="B24" s="218"/>
      <c r="C24" s="13">
        <v>64.040000000000006</v>
      </c>
      <c r="D24" s="13">
        <v>62.1</v>
      </c>
      <c r="E24" s="13">
        <v>42.3</v>
      </c>
      <c r="F24" s="14"/>
      <c r="G24" s="24">
        <f t="shared" si="5"/>
        <v>168.44</v>
      </c>
      <c r="H24" s="221"/>
      <c r="I24" s="215"/>
      <c r="J24" s="17">
        <f t="shared" si="1"/>
        <v>8.4220000000000006</v>
      </c>
      <c r="K24" s="17">
        <f>SUM(J20,J21,J22,J23,J24)</f>
        <v>47.327500000000001</v>
      </c>
    </row>
    <row r="25" spans="1:14" x14ac:dyDescent="0.4">
      <c r="H25" s="231" t="s">
        <v>62</v>
      </c>
      <c r="I25" s="231"/>
    </row>
    <row r="26" spans="1:14" x14ac:dyDescent="0.4">
      <c r="H26" s="2" t="s">
        <v>71</v>
      </c>
      <c r="I26" s="2"/>
    </row>
    <row r="27" spans="1:14" x14ac:dyDescent="0.4">
      <c r="G27" s="40"/>
      <c r="H27" s="172" t="s">
        <v>147</v>
      </c>
      <c r="I27" s="172"/>
    </row>
    <row r="28" spans="1:14" x14ac:dyDescent="0.4">
      <c r="G28" s="40"/>
      <c r="H28" s="172" t="s">
        <v>75</v>
      </c>
      <c r="I28" s="172"/>
    </row>
    <row r="29" spans="1:14" x14ac:dyDescent="0.4">
      <c r="G29" s="42"/>
      <c r="H29" s="162" t="s">
        <v>148</v>
      </c>
      <c r="I29" s="162"/>
    </row>
  </sheetData>
  <mergeCells count="24">
    <mergeCell ref="H27:I27"/>
    <mergeCell ref="H28:I28"/>
    <mergeCell ref="H29:I29"/>
    <mergeCell ref="B20:B24"/>
    <mergeCell ref="H20:H24"/>
    <mergeCell ref="I20:I24"/>
    <mergeCell ref="H25:I25"/>
    <mergeCell ref="A1:I1"/>
    <mergeCell ref="I2:I4"/>
    <mergeCell ref="A2:B2"/>
    <mergeCell ref="C2:F2"/>
    <mergeCell ref="G2:G3"/>
    <mergeCell ref="A3:A4"/>
    <mergeCell ref="B3:B4"/>
    <mergeCell ref="H2:H3"/>
    <mergeCell ref="I5:I9"/>
    <mergeCell ref="I10:I14"/>
    <mergeCell ref="I15:I19"/>
    <mergeCell ref="B5:B9"/>
    <mergeCell ref="B10:B14"/>
    <mergeCell ref="H5:H9"/>
    <mergeCell ref="H10:H14"/>
    <mergeCell ref="B15:B19"/>
    <mergeCell ref="H15:H19"/>
  </mergeCells>
  <phoneticPr fontId="1" type="noConversion"/>
  <pageMargins left="0.23622047244094491" right="0.23622047244094491" top="0.35433070866141736" bottom="0" header="0.31496062992125984" footer="0.31496062992125984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EEC8B-6FE6-4F21-A9B2-5F760639DEB0}">
  <dimension ref="A1:O28"/>
  <sheetViews>
    <sheetView topLeftCell="B4" zoomScale="90" zoomScaleNormal="90" workbookViewId="0">
      <selection activeCell="I23" sqref="I23"/>
    </sheetView>
  </sheetViews>
  <sheetFormatPr defaultColWidth="8.796875" defaultRowHeight="21" x14ac:dyDescent="0.4"/>
  <cols>
    <col min="1" max="1" width="6.3984375" style="1" customWidth="1"/>
    <col min="2" max="2" width="22.8984375" style="1" customWidth="1"/>
    <col min="3" max="3" width="10.296875" style="1" customWidth="1"/>
    <col min="4" max="4" width="10" style="35" customWidth="1"/>
    <col min="5" max="5" width="11.5" style="17" customWidth="1"/>
    <col min="6" max="6" width="9.09765625" style="1" customWidth="1"/>
    <col min="7" max="7" width="9.5" style="1" customWidth="1"/>
    <col min="8" max="8" width="10.69921875" style="1" customWidth="1"/>
    <col min="9" max="9" width="15.69921875" style="1" customWidth="1"/>
    <col min="10" max="10" width="34.3984375" style="1" customWidth="1"/>
    <col min="11" max="11" width="26.59765625" style="1" customWidth="1"/>
    <col min="12" max="12" width="12.8984375" style="1" customWidth="1"/>
    <col min="13" max="13" width="11.796875" style="1" customWidth="1"/>
    <col min="14" max="16384" width="8.796875" style="1"/>
  </cols>
  <sheetData>
    <row r="1" spans="1:15" x14ac:dyDescent="0.4">
      <c r="A1" s="159" t="s">
        <v>32</v>
      </c>
      <c r="B1" s="159"/>
      <c r="C1" s="159"/>
      <c r="D1" s="159"/>
      <c r="E1" s="159"/>
      <c r="F1" s="159"/>
      <c r="G1" s="159"/>
      <c r="H1" s="159"/>
      <c r="I1" s="159"/>
      <c r="J1" s="159"/>
    </row>
    <row r="2" spans="1:15" ht="43.8" customHeight="1" x14ac:dyDescent="0.4">
      <c r="A2" s="160" t="s">
        <v>106</v>
      </c>
      <c r="B2" s="160" t="s">
        <v>29</v>
      </c>
      <c r="C2" s="160" t="s">
        <v>14</v>
      </c>
      <c r="D2" s="160"/>
      <c r="E2" s="181" t="s">
        <v>8</v>
      </c>
      <c r="F2" s="181"/>
      <c r="G2" s="181"/>
      <c r="H2" s="181"/>
      <c r="I2" s="181" t="s">
        <v>114</v>
      </c>
      <c r="J2" s="181" t="s">
        <v>13</v>
      </c>
      <c r="L2" s="241" t="s">
        <v>64</v>
      </c>
      <c r="M2" s="241"/>
      <c r="N2" s="143" t="s">
        <v>82</v>
      </c>
    </row>
    <row r="3" spans="1:15" ht="59.4" customHeight="1" x14ac:dyDescent="0.4">
      <c r="A3" s="160"/>
      <c r="B3" s="160"/>
      <c r="C3" s="34" t="s">
        <v>37</v>
      </c>
      <c r="D3" s="34" t="s">
        <v>107</v>
      </c>
      <c r="E3" s="68" t="s">
        <v>144</v>
      </c>
      <c r="F3" s="67" t="s">
        <v>145</v>
      </c>
      <c r="G3" s="67" t="s">
        <v>41</v>
      </c>
      <c r="H3" s="67" t="s">
        <v>113</v>
      </c>
      <c r="I3" s="181"/>
      <c r="J3" s="181"/>
      <c r="L3" s="137" t="s">
        <v>132</v>
      </c>
      <c r="M3" s="137" t="s">
        <v>133</v>
      </c>
      <c r="N3" s="142">
        <v>40</v>
      </c>
      <c r="O3" s="147" t="s">
        <v>67</v>
      </c>
    </row>
    <row r="4" spans="1:15" x14ac:dyDescent="0.4">
      <c r="A4" s="70">
        <v>1</v>
      </c>
      <c r="B4" s="150" t="s">
        <v>151</v>
      </c>
      <c r="C4" s="232" t="s">
        <v>105</v>
      </c>
      <c r="D4" s="71" t="s">
        <v>108</v>
      </c>
      <c r="E4" s="120">
        <f>N4/2</f>
        <v>0</v>
      </c>
      <c r="F4" s="78">
        <f>(L4+M4)*60/100</f>
        <v>0</v>
      </c>
      <c r="G4" s="79">
        <v>18.399999999999999</v>
      </c>
      <c r="H4" s="77">
        <f>SUM(E4:G4)</f>
        <v>18.399999999999999</v>
      </c>
      <c r="I4" s="80">
        <f>RANK(H4,$H$4:$H$23)</f>
        <v>7</v>
      </c>
      <c r="J4" s="80"/>
      <c r="K4" s="134"/>
      <c r="L4" s="138"/>
      <c r="M4" s="146"/>
      <c r="N4" s="139"/>
    </row>
    <row r="5" spans="1:15" x14ac:dyDescent="0.4">
      <c r="A5" s="72">
        <v>2</v>
      </c>
      <c r="B5" s="151" t="s">
        <v>152</v>
      </c>
      <c r="C5" s="240"/>
      <c r="D5" s="92" t="s">
        <v>109</v>
      </c>
      <c r="E5" s="119">
        <f t="shared" ref="E5:E23" si="0">N5/2</f>
        <v>0</v>
      </c>
      <c r="F5" s="82">
        <f t="shared" ref="F5:F23" si="1">(L5+M5)*60/100</f>
        <v>0</v>
      </c>
      <c r="G5" s="83">
        <v>17.600000000000001</v>
      </c>
      <c r="H5" s="86">
        <f t="shared" ref="H5:H23" si="2">SUM(E5:G5)</f>
        <v>17.600000000000001</v>
      </c>
      <c r="I5" s="84">
        <f t="shared" ref="I5:I23" si="3">RANK(H5,$H$4:$H$23)</f>
        <v>8</v>
      </c>
      <c r="J5" s="85"/>
      <c r="K5" s="134"/>
      <c r="L5" s="144"/>
      <c r="M5" s="146"/>
      <c r="N5" s="145"/>
    </row>
    <row r="6" spans="1:15" x14ac:dyDescent="0.4">
      <c r="A6" s="72">
        <v>3</v>
      </c>
      <c r="B6" s="150" t="s">
        <v>153</v>
      </c>
      <c r="C6" s="240"/>
      <c r="D6" s="73" t="s">
        <v>110</v>
      </c>
      <c r="E6" s="86">
        <f t="shared" si="0"/>
        <v>0</v>
      </c>
      <c r="F6" s="87">
        <f t="shared" si="1"/>
        <v>0</v>
      </c>
      <c r="G6" s="88">
        <v>18.933333333333334</v>
      </c>
      <c r="H6" s="86">
        <f t="shared" si="2"/>
        <v>18.933333333333334</v>
      </c>
      <c r="I6" s="122">
        <f t="shared" si="3"/>
        <v>3</v>
      </c>
      <c r="J6" s="89"/>
      <c r="K6" s="134"/>
      <c r="L6" s="138"/>
      <c r="M6" s="146"/>
      <c r="N6" s="139"/>
    </row>
    <row r="7" spans="1:15" x14ac:dyDescent="0.4">
      <c r="A7" s="72">
        <v>4</v>
      </c>
      <c r="B7" s="151" t="s">
        <v>154</v>
      </c>
      <c r="C7" s="240"/>
      <c r="D7" s="73" t="s">
        <v>111</v>
      </c>
      <c r="E7" s="81">
        <f t="shared" si="0"/>
        <v>0</v>
      </c>
      <c r="F7" s="87">
        <f t="shared" si="1"/>
        <v>0</v>
      </c>
      <c r="G7" s="88">
        <v>14.133333333333333</v>
      </c>
      <c r="H7" s="81">
        <f t="shared" si="2"/>
        <v>14.133333333333333</v>
      </c>
      <c r="I7" s="89">
        <f t="shared" si="3"/>
        <v>17</v>
      </c>
      <c r="J7" s="89"/>
      <c r="K7" s="134"/>
      <c r="L7" s="138"/>
      <c r="M7" s="146"/>
      <c r="N7" s="139"/>
    </row>
    <row r="8" spans="1:15" x14ac:dyDescent="0.4">
      <c r="A8" s="62">
        <v>5</v>
      </c>
      <c r="B8" s="151" t="s">
        <v>155</v>
      </c>
      <c r="C8" s="239"/>
      <c r="D8" s="69" t="s">
        <v>112</v>
      </c>
      <c r="E8" s="118">
        <f t="shared" si="0"/>
        <v>0</v>
      </c>
      <c r="F8" s="128">
        <f t="shared" si="1"/>
        <v>0</v>
      </c>
      <c r="G8" s="74">
        <v>17.399999999999999</v>
      </c>
      <c r="H8" s="118">
        <f t="shared" si="2"/>
        <v>17.399999999999999</v>
      </c>
      <c r="I8" s="121">
        <f t="shared" si="3"/>
        <v>10</v>
      </c>
      <c r="J8" s="84"/>
      <c r="K8" s="135"/>
      <c r="L8" s="138"/>
      <c r="M8" s="146"/>
      <c r="N8" s="139"/>
    </row>
    <row r="9" spans="1:15" x14ac:dyDescent="0.4">
      <c r="A9" s="70">
        <v>6</v>
      </c>
      <c r="B9" s="150" t="s">
        <v>156</v>
      </c>
      <c r="C9" s="232" t="s">
        <v>115</v>
      </c>
      <c r="D9" s="71" t="s">
        <v>108</v>
      </c>
      <c r="E9" s="120">
        <f t="shared" si="0"/>
        <v>0</v>
      </c>
      <c r="F9" s="129">
        <f t="shared" si="1"/>
        <v>0</v>
      </c>
      <c r="G9" s="79">
        <v>17.399999999999999</v>
      </c>
      <c r="H9" s="77">
        <f t="shared" si="2"/>
        <v>17.399999999999999</v>
      </c>
      <c r="I9" s="80">
        <f t="shared" si="3"/>
        <v>10</v>
      </c>
      <c r="J9" s="80"/>
      <c r="K9" s="135"/>
      <c r="L9" s="138"/>
      <c r="M9" s="146"/>
      <c r="N9" s="139"/>
    </row>
    <row r="10" spans="1:15" x14ac:dyDescent="0.4">
      <c r="A10" s="61">
        <v>7</v>
      </c>
      <c r="B10" s="150" t="s">
        <v>157</v>
      </c>
      <c r="C10" s="233"/>
      <c r="D10" s="73" t="s">
        <v>109</v>
      </c>
      <c r="E10" s="119">
        <f t="shared" si="0"/>
        <v>0</v>
      </c>
      <c r="F10" s="87">
        <f t="shared" si="1"/>
        <v>0</v>
      </c>
      <c r="G10" s="88">
        <v>16.866666666666667</v>
      </c>
      <c r="H10" s="86">
        <f t="shared" si="2"/>
        <v>16.866666666666667</v>
      </c>
      <c r="I10" s="122">
        <f t="shared" si="3"/>
        <v>13</v>
      </c>
      <c r="J10" s="90"/>
      <c r="K10" s="135"/>
      <c r="L10" s="138"/>
      <c r="M10" s="146"/>
      <c r="N10" s="139"/>
    </row>
    <row r="11" spans="1:15" x14ac:dyDescent="0.4">
      <c r="A11" s="72">
        <v>8</v>
      </c>
      <c r="B11" s="150" t="s">
        <v>158</v>
      </c>
      <c r="C11" s="234"/>
      <c r="D11" s="73" t="s">
        <v>110</v>
      </c>
      <c r="E11" s="86">
        <f t="shared" si="0"/>
        <v>0</v>
      </c>
      <c r="F11" s="82">
        <f t="shared" si="1"/>
        <v>0</v>
      </c>
      <c r="G11" s="88">
        <v>18.733333333333334</v>
      </c>
      <c r="H11" s="81">
        <f t="shared" si="2"/>
        <v>18.733333333333334</v>
      </c>
      <c r="I11" s="122">
        <f t="shared" si="3"/>
        <v>4</v>
      </c>
      <c r="J11" s="89"/>
      <c r="K11" s="135"/>
      <c r="L11" s="138"/>
      <c r="M11" s="146"/>
      <c r="N11" s="139"/>
    </row>
    <row r="12" spans="1:15" x14ac:dyDescent="0.4">
      <c r="A12" s="72">
        <v>9</v>
      </c>
      <c r="B12" s="150" t="s">
        <v>159</v>
      </c>
      <c r="C12" s="234"/>
      <c r="D12" s="73" t="s">
        <v>111</v>
      </c>
      <c r="E12" s="81">
        <f t="shared" si="0"/>
        <v>0</v>
      </c>
      <c r="F12" s="87">
        <f t="shared" si="1"/>
        <v>0</v>
      </c>
      <c r="G12" s="88">
        <v>14.066666666666666</v>
      </c>
      <c r="H12" s="119">
        <f t="shared" si="2"/>
        <v>14.066666666666666</v>
      </c>
      <c r="I12" s="122">
        <f t="shared" si="3"/>
        <v>19</v>
      </c>
      <c r="J12" s="89"/>
      <c r="K12" s="135"/>
      <c r="L12" s="138"/>
      <c r="M12" s="146"/>
      <c r="N12" s="139"/>
    </row>
    <row r="13" spans="1:15" x14ac:dyDescent="0.4">
      <c r="A13" s="62">
        <v>10</v>
      </c>
      <c r="B13" s="150" t="s">
        <v>160</v>
      </c>
      <c r="C13" s="235"/>
      <c r="D13" s="69" t="s">
        <v>112</v>
      </c>
      <c r="E13" s="118">
        <f t="shared" si="0"/>
        <v>0</v>
      </c>
      <c r="F13" s="82">
        <f t="shared" si="1"/>
        <v>0</v>
      </c>
      <c r="G13" s="74">
        <v>16.933333333333334</v>
      </c>
      <c r="H13" s="118">
        <f t="shared" si="2"/>
        <v>16.933333333333334</v>
      </c>
      <c r="I13" s="153">
        <f t="shared" si="3"/>
        <v>12</v>
      </c>
      <c r="J13" s="76"/>
      <c r="K13" s="135"/>
      <c r="L13" s="140"/>
      <c r="M13" s="146"/>
      <c r="N13" s="139"/>
    </row>
    <row r="14" spans="1:15" x14ac:dyDescent="0.4">
      <c r="A14" s="60">
        <v>11</v>
      </c>
      <c r="B14" s="152" t="s">
        <v>170</v>
      </c>
      <c r="C14" s="236" t="s">
        <v>116</v>
      </c>
      <c r="D14" s="71" t="s">
        <v>108</v>
      </c>
      <c r="E14" s="120">
        <f t="shared" si="0"/>
        <v>0</v>
      </c>
      <c r="F14" s="78">
        <f t="shared" si="1"/>
        <v>0</v>
      </c>
      <c r="G14" s="79">
        <v>13.066666666666666</v>
      </c>
      <c r="H14" s="120">
        <f t="shared" si="2"/>
        <v>13.066666666666666</v>
      </c>
      <c r="I14" s="123">
        <f t="shared" si="3"/>
        <v>20</v>
      </c>
      <c r="J14" s="80"/>
      <c r="K14" s="135"/>
      <c r="L14" s="140"/>
      <c r="M14" s="146"/>
      <c r="N14" s="139"/>
    </row>
    <row r="15" spans="1:15" x14ac:dyDescent="0.4">
      <c r="A15" s="72">
        <v>12</v>
      </c>
      <c r="B15" s="150" t="s">
        <v>161</v>
      </c>
      <c r="C15" s="237"/>
      <c r="D15" s="73" t="s">
        <v>109</v>
      </c>
      <c r="E15" s="119">
        <f t="shared" si="0"/>
        <v>0</v>
      </c>
      <c r="F15" s="131">
        <f t="shared" si="1"/>
        <v>0</v>
      </c>
      <c r="G15" s="88">
        <v>18.600000000000001</v>
      </c>
      <c r="H15" s="86">
        <f t="shared" si="2"/>
        <v>18.600000000000001</v>
      </c>
      <c r="I15" s="122">
        <f t="shared" si="3"/>
        <v>5</v>
      </c>
      <c r="J15" s="89"/>
      <c r="K15" s="135"/>
      <c r="L15" s="140"/>
      <c r="M15" s="146"/>
      <c r="N15" s="139"/>
    </row>
    <row r="16" spans="1:15" x14ac:dyDescent="0.4">
      <c r="A16" s="61">
        <v>13</v>
      </c>
      <c r="B16" s="150" t="s">
        <v>162</v>
      </c>
      <c r="C16" s="237"/>
      <c r="D16" s="73" t="s">
        <v>110</v>
      </c>
      <c r="E16" s="86">
        <f t="shared" si="0"/>
        <v>0</v>
      </c>
      <c r="F16" s="82">
        <f t="shared" si="1"/>
        <v>0</v>
      </c>
      <c r="G16" s="88">
        <v>14.866666666666667</v>
      </c>
      <c r="H16" s="86">
        <f t="shared" si="2"/>
        <v>14.866666666666667</v>
      </c>
      <c r="I16" s="89">
        <f t="shared" si="3"/>
        <v>15</v>
      </c>
      <c r="J16" s="89"/>
      <c r="K16" s="135"/>
      <c r="L16" s="140"/>
      <c r="M16" s="146"/>
      <c r="N16" s="139"/>
    </row>
    <row r="17" spans="1:14" x14ac:dyDescent="0.4">
      <c r="A17" s="72">
        <v>14</v>
      </c>
      <c r="B17" s="150" t="s">
        <v>163</v>
      </c>
      <c r="C17" s="234"/>
      <c r="D17" s="73" t="s">
        <v>111</v>
      </c>
      <c r="E17" s="81">
        <f t="shared" si="0"/>
        <v>0</v>
      </c>
      <c r="F17" s="87">
        <f t="shared" si="1"/>
        <v>0</v>
      </c>
      <c r="G17" s="88">
        <v>16.733333333333334</v>
      </c>
      <c r="H17" s="81">
        <f t="shared" si="2"/>
        <v>16.733333333333334</v>
      </c>
      <c r="I17" s="84">
        <f t="shared" si="3"/>
        <v>14</v>
      </c>
      <c r="J17" s="89"/>
      <c r="K17" s="135"/>
      <c r="L17" s="140"/>
      <c r="M17" s="146"/>
      <c r="N17" s="139"/>
    </row>
    <row r="18" spans="1:14" x14ac:dyDescent="0.4">
      <c r="A18" s="62">
        <v>15</v>
      </c>
      <c r="B18" s="150" t="s">
        <v>164</v>
      </c>
      <c r="C18" s="235"/>
      <c r="D18" s="69" t="s">
        <v>112</v>
      </c>
      <c r="E18" s="118">
        <f t="shared" si="0"/>
        <v>0</v>
      </c>
      <c r="F18" s="128">
        <f t="shared" si="1"/>
        <v>0</v>
      </c>
      <c r="G18" s="74">
        <v>14.666666666666666</v>
      </c>
      <c r="H18" s="118">
        <f t="shared" si="2"/>
        <v>14.666666666666666</v>
      </c>
      <c r="I18" s="153">
        <f t="shared" si="3"/>
        <v>16</v>
      </c>
      <c r="J18" s="75"/>
      <c r="K18" s="135"/>
      <c r="L18" s="140"/>
      <c r="M18" s="146"/>
      <c r="N18" s="139"/>
    </row>
    <row r="19" spans="1:14" x14ac:dyDescent="0.4">
      <c r="A19" s="60">
        <v>16</v>
      </c>
      <c r="B19" s="150" t="s">
        <v>165</v>
      </c>
      <c r="C19" s="238" t="s">
        <v>117</v>
      </c>
      <c r="D19" s="71" t="s">
        <v>108</v>
      </c>
      <c r="E19" s="120">
        <f t="shared" si="0"/>
        <v>0</v>
      </c>
      <c r="F19" s="78">
        <f t="shared" si="1"/>
        <v>0</v>
      </c>
      <c r="G19" s="79">
        <v>17.600000000000001</v>
      </c>
      <c r="H19" s="120">
        <f t="shared" si="2"/>
        <v>17.600000000000001</v>
      </c>
      <c r="I19" s="80">
        <f t="shared" si="3"/>
        <v>8</v>
      </c>
      <c r="J19" s="80"/>
      <c r="K19" s="135"/>
      <c r="L19" s="140"/>
      <c r="M19" s="146"/>
      <c r="N19" s="139"/>
    </row>
    <row r="20" spans="1:14" x14ac:dyDescent="0.4">
      <c r="A20" s="72">
        <v>17</v>
      </c>
      <c r="B20" s="150" t="s">
        <v>166</v>
      </c>
      <c r="C20" s="237"/>
      <c r="D20" s="73" t="s">
        <v>109</v>
      </c>
      <c r="E20" s="86">
        <f t="shared" si="0"/>
        <v>0</v>
      </c>
      <c r="F20" s="82">
        <f t="shared" si="1"/>
        <v>0</v>
      </c>
      <c r="G20" s="88">
        <v>19</v>
      </c>
      <c r="H20" s="119">
        <f t="shared" si="2"/>
        <v>19</v>
      </c>
      <c r="I20" s="89">
        <f t="shared" si="3"/>
        <v>2</v>
      </c>
      <c r="J20" s="122"/>
      <c r="L20" s="140"/>
      <c r="M20" s="146"/>
      <c r="N20" s="139"/>
    </row>
    <row r="21" spans="1:14" x14ac:dyDescent="0.4">
      <c r="A21" s="72">
        <v>18</v>
      </c>
      <c r="B21" s="150" t="s">
        <v>167</v>
      </c>
      <c r="C21" s="237"/>
      <c r="D21" s="73" t="s">
        <v>110</v>
      </c>
      <c r="E21" s="81">
        <f t="shared" si="0"/>
        <v>0</v>
      </c>
      <c r="F21" s="87">
        <f t="shared" si="1"/>
        <v>0</v>
      </c>
      <c r="G21" s="88">
        <v>14.133333333333333</v>
      </c>
      <c r="H21" s="86">
        <f t="shared" si="2"/>
        <v>14.133333333333333</v>
      </c>
      <c r="I21" s="84">
        <f t="shared" si="3"/>
        <v>17</v>
      </c>
      <c r="J21" s="122"/>
      <c r="L21" s="139"/>
      <c r="M21" s="146"/>
      <c r="N21" s="139"/>
    </row>
    <row r="22" spans="1:14" x14ac:dyDescent="0.4">
      <c r="A22" s="72">
        <v>19</v>
      </c>
      <c r="B22" s="150" t="s">
        <v>168</v>
      </c>
      <c r="C22" s="233"/>
      <c r="D22" s="73" t="s">
        <v>111</v>
      </c>
      <c r="E22" s="119">
        <f t="shared" si="0"/>
        <v>0</v>
      </c>
      <c r="F22" s="131">
        <f t="shared" si="1"/>
        <v>0</v>
      </c>
      <c r="G22" s="132">
        <v>18.466666666666665</v>
      </c>
      <c r="H22" s="86">
        <f t="shared" si="2"/>
        <v>18.466666666666665</v>
      </c>
      <c r="I22" s="133">
        <f t="shared" si="3"/>
        <v>6</v>
      </c>
      <c r="J22" s="89"/>
      <c r="L22" s="140"/>
      <c r="M22" s="146"/>
      <c r="N22" s="139"/>
    </row>
    <row r="23" spans="1:14" x14ac:dyDescent="0.4">
      <c r="A23" s="62">
        <v>20</v>
      </c>
      <c r="B23" s="150" t="s">
        <v>169</v>
      </c>
      <c r="C23" s="239"/>
      <c r="D23" s="69" t="s">
        <v>112</v>
      </c>
      <c r="E23" s="119">
        <f t="shared" si="0"/>
        <v>0</v>
      </c>
      <c r="F23" s="130">
        <f t="shared" si="1"/>
        <v>0</v>
      </c>
      <c r="G23" s="74">
        <v>19.266666666666666</v>
      </c>
      <c r="H23" s="118">
        <f t="shared" si="2"/>
        <v>19.266666666666666</v>
      </c>
      <c r="I23" s="121">
        <f t="shared" si="3"/>
        <v>1</v>
      </c>
      <c r="J23" s="75"/>
      <c r="L23" s="140"/>
      <c r="M23" s="146"/>
      <c r="N23" s="139"/>
    </row>
    <row r="24" spans="1:14" x14ac:dyDescent="0.4">
      <c r="E24" s="141"/>
      <c r="I24" s="242" t="s">
        <v>127</v>
      </c>
      <c r="J24" s="242"/>
      <c r="K24" s="136"/>
    </row>
    <row r="25" spans="1:14" ht="27.6" customHeight="1" x14ac:dyDescent="0.4">
      <c r="H25" s="41" t="s">
        <v>71</v>
      </c>
      <c r="I25" s="41"/>
      <c r="J25" s="2"/>
      <c r="K25" s="36"/>
    </row>
    <row r="26" spans="1:14" x14ac:dyDescent="0.4">
      <c r="H26" s="40"/>
      <c r="I26" s="187" t="s">
        <v>72</v>
      </c>
      <c r="J26" s="187"/>
      <c r="K26" s="36"/>
    </row>
    <row r="27" spans="1:14" x14ac:dyDescent="0.4">
      <c r="H27" s="40"/>
      <c r="I27" s="187" t="s">
        <v>73</v>
      </c>
      <c r="J27" s="187"/>
      <c r="K27" s="36"/>
    </row>
    <row r="28" spans="1:14" x14ac:dyDescent="0.4">
      <c r="H28" s="42"/>
      <c r="I28" s="198" t="s">
        <v>134</v>
      </c>
      <c r="J28" s="198"/>
      <c r="K28" s="36"/>
    </row>
  </sheetData>
  <mergeCells count="16">
    <mergeCell ref="L2:M2"/>
    <mergeCell ref="I26:J26"/>
    <mergeCell ref="I27:J27"/>
    <mergeCell ref="I28:J28"/>
    <mergeCell ref="J2:J3"/>
    <mergeCell ref="I24:J24"/>
    <mergeCell ref="C9:C13"/>
    <mergeCell ref="C14:C18"/>
    <mergeCell ref="C19:C23"/>
    <mergeCell ref="C4:C8"/>
    <mergeCell ref="A1:J1"/>
    <mergeCell ref="A2:A3"/>
    <mergeCell ref="B2:B3"/>
    <mergeCell ref="C2:D2"/>
    <mergeCell ref="E2:H2"/>
    <mergeCell ref="I2:I3"/>
  </mergeCells>
  <phoneticPr fontId="1" type="noConversion"/>
  <pageMargins left="0.23622047244094491" right="0.23622047244094491" top="0.35433070866141736" bottom="0" header="0.31496062992125984" footer="0.31496062992125984"/>
  <pageSetup paperSize="9" scale="9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91767-C8D1-438B-B678-4E20D5F0600F}">
  <dimension ref="A1:N31"/>
  <sheetViews>
    <sheetView topLeftCell="A18" zoomScale="73" workbookViewId="0">
      <selection activeCell="G29" sqref="G29:G31"/>
    </sheetView>
  </sheetViews>
  <sheetFormatPr defaultColWidth="8.796875" defaultRowHeight="21" x14ac:dyDescent="0.4"/>
  <cols>
    <col min="1" max="1" width="15.69921875" style="1" customWidth="1"/>
    <col min="2" max="2" width="13.3984375" style="1" customWidth="1"/>
    <col min="3" max="3" width="9.09765625" style="2" customWidth="1"/>
    <col min="4" max="4" width="9.19921875" style="2" customWidth="1"/>
    <col min="5" max="5" width="10.296875" style="2" customWidth="1"/>
    <col min="6" max="6" width="10" style="2" customWidth="1"/>
    <col min="7" max="7" width="11.19921875" style="18" customWidth="1"/>
    <col min="8" max="16384" width="8.796875" style="1"/>
  </cols>
  <sheetData>
    <row r="1" spans="1:8" x14ac:dyDescent="0.4">
      <c r="A1" s="189" t="s">
        <v>14</v>
      </c>
      <c r="B1" s="189"/>
      <c r="C1" s="189" t="s">
        <v>8</v>
      </c>
      <c r="D1" s="189"/>
      <c r="E1" s="189"/>
      <c r="F1" s="189"/>
      <c r="G1" s="189"/>
    </row>
    <row r="2" spans="1:8" ht="42.6" thickBot="1" x14ac:dyDescent="0.45">
      <c r="A2" s="9" t="s">
        <v>37</v>
      </c>
      <c r="B2" s="9" t="s">
        <v>15</v>
      </c>
      <c r="C2" s="96" t="s">
        <v>40</v>
      </c>
      <c r="D2" s="96" t="s">
        <v>119</v>
      </c>
      <c r="E2" s="96" t="s">
        <v>120</v>
      </c>
      <c r="F2" s="11" t="s">
        <v>121</v>
      </c>
      <c r="G2" s="93" t="s">
        <v>122</v>
      </c>
    </row>
    <row r="3" spans="1:8" ht="21.6" thickBot="1" x14ac:dyDescent="0.45">
      <c r="A3" s="223" t="s">
        <v>42</v>
      </c>
      <c r="B3" s="98" t="s">
        <v>43</v>
      </c>
      <c r="C3" s="148">
        <v>8.49</v>
      </c>
      <c r="D3" s="148">
        <v>46.04</v>
      </c>
      <c r="E3" s="148">
        <v>14.83</v>
      </c>
      <c r="F3" s="148">
        <v>16</v>
      </c>
      <c r="G3" s="99">
        <f>SUM(C3:F3)</f>
        <v>85.36</v>
      </c>
    </row>
    <row r="4" spans="1:8" ht="21.6" thickBot="1" x14ac:dyDescent="0.45">
      <c r="A4" s="224"/>
      <c r="B4" s="100" t="s">
        <v>44</v>
      </c>
      <c r="C4" s="148">
        <v>9.39</v>
      </c>
      <c r="D4" s="148">
        <v>46.94</v>
      </c>
      <c r="E4" s="148">
        <v>15.48</v>
      </c>
      <c r="F4" s="148">
        <v>19</v>
      </c>
      <c r="G4" s="99">
        <f t="shared" ref="G4:G7" si="0">SUM(C4:F4)</f>
        <v>90.81</v>
      </c>
    </row>
    <row r="5" spans="1:8" ht="21.6" thickBot="1" x14ac:dyDescent="0.45">
      <c r="A5" s="224"/>
      <c r="B5" s="100" t="s">
        <v>45</v>
      </c>
      <c r="C5" s="148">
        <v>9.09</v>
      </c>
      <c r="D5" s="148">
        <v>49.56</v>
      </c>
      <c r="E5" s="148">
        <v>15.38</v>
      </c>
      <c r="F5" s="148">
        <v>17</v>
      </c>
      <c r="G5" s="99">
        <f t="shared" si="0"/>
        <v>91.03</v>
      </c>
    </row>
    <row r="6" spans="1:8" ht="21.6" thickBot="1" x14ac:dyDescent="0.45">
      <c r="A6" s="224"/>
      <c r="B6" s="100" t="s">
        <v>46</v>
      </c>
      <c r="C6" s="148">
        <v>8.39</v>
      </c>
      <c r="D6" s="148">
        <v>46.91</v>
      </c>
      <c r="E6" s="148">
        <v>14.28</v>
      </c>
      <c r="F6" s="148">
        <v>18</v>
      </c>
      <c r="G6" s="99">
        <f t="shared" si="0"/>
        <v>87.58</v>
      </c>
    </row>
    <row r="7" spans="1:8" x14ac:dyDescent="0.4">
      <c r="A7" s="225"/>
      <c r="B7" s="97" t="s">
        <v>47</v>
      </c>
      <c r="C7" s="148">
        <v>8.89</v>
      </c>
      <c r="D7" s="148">
        <v>48.05</v>
      </c>
      <c r="E7" s="148">
        <v>16.03</v>
      </c>
      <c r="F7" s="148">
        <v>17</v>
      </c>
      <c r="G7" s="99">
        <f t="shared" si="0"/>
        <v>89.97</v>
      </c>
      <c r="H7" s="17"/>
    </row>
    <row r="8" spans="1:8" x14ac:dyDescent="0.4">
      <c r="A8" s="94" t="s">
        <v>3</v>
      </c>
      <c r="B8" s="28"/>
      <c r="C8" s="3">
        <f>SUM(C3:C7)</f>
        <v>44.25</v>
      </c>
      <c r="D8" s="3">
        <f t="shared" ref="D8:G8" si="1">SUM(D3:D7)</f>
        <v>237.5</v>
      </c>
      <c r="E8" s="3">
        <f t="shared" si="1"/>
        <v>76</v>
      </c>
      <c r="F8" s="3">
        <f t="shared" si="1"/>
        <v>87</v>
      </c>
      <c r="G8" s="3">
        <f t="shared" si="1"/>
        <v>444.75</v>
      </c>
      <c r="H8" s="17"/>
    </row>
    <row r="9" spans="1:8" ht="25.8" customHeight="1" thickBot="1" x14ac:dyDescent="0.45">
      <c r="A9" s="94" t="s">
        <v>70</v>
      </c>
      <c r="B9" s="28"/>
      <c r="C9" s="4">
        <f>(C8/5)*(100)/10</f>
        <v>88.5</v>
      </c>
      <c r="D9" s="4">
        <f>(D8/5)*(100)/50</f>
        <v>95</v>
      </c>
      <c r="E9" s="4">
        <f>(E8/5)*(100)/20</f>
        <v>76</v>
      </c>
      <c r="F9" s="4">
        <f>(F8/5)*(100)/20</f>
        <v>86.999999999999986</v>
      </c>
      <c r="G9" s="4">
        <f>(G8/5)</f>
        <v>88.95</v>
      </c>
      <c r="H9" s="17"/>
    </row>
    <row r="10" spans="1:8" ht="21.6" thickBot="1" x14ac:dyDescent="0.45">
      <c r="A10" s="223" t="s">
        <v>48</v>
      </c>
      <c r="B10" s="98" t="s">
        <v>43</v>
      </c>
      <c r="C10" s="148">
        <v>9.27</v>
      </c>
      <c r="D10" s="148">
        <v>49.44</v>
      </c>
      <c r="E10" s="148">
        <v>15.76</v>
      </c>
      <c r="F10" s="148">
        <v>19</v>
      </c>
      <c r="G10" s="99">
        <f t="shared" ref="G10:G14" si="2">SUM(C10:F10)</f>
        <v>93.47</v>
      </c>
    </row>
    <row r="11" spans="1:8" ht="21.6" thickBot="1" x14ac:dyDescent="0.45">
      <c r="A11" s="224"/>
      <c r="B11" s="100" t="s">
        <v>44</v>
      </c>
      <c r="C11" s="148">
        <v>9.17</v>
      </c>
      <c r="D11" s="148">
        <v>48.8</v>
      </c>
      <c r="E11" s="148">
        <v>14.76</v>
      </c>
      <c r="F11" s="148">
        <v>18</v>
      </c>
      <c r="G11" s="99">
        <f t="shared" si="2"/>
        <v>90.73</v>
      </c>
    </row>
    <row r="12" spans="1:8" ht="21.6" thickBot="1" x14ac:dyDescent="0.45">
      <c r="A12" s="224"/>
      <c r="B12" s="100" t="s">
        <v>45</v>
      </c>
      <c r="C12" s="148">
        <v>9.17</v>
      </c>
      <c r="D12" s="148">
        <v>49.1</v>
      </c>
      <c r="E12" s="148">
        <v>14.11</v>
      </c>
      <c r="F12" s="148">
        <v>18</v>
      </c>
      <c r="G12" s="99">
        <f t="shared" si="2"/>
        <v>90.38</v>
      </c>
    </row>
    <row r="13" spans="1:8" ht="21.6" thickBot="1" x14ac:dyDescent="0.45">
      <c r="A13" s="224"/>
      <c r="B13" s="100" t="s">
        <v>46</v>
      </c>
      <c r="C13" s="148">
        <v>9.27</v>
      </c>
      <c r="D13" s="148">
        <v>49.42</v>
      </c>
      <c r="E13" s="148">
        <v>16.11</v>
      </c>
      <c r="F13" s="148">
        <v>19</v>
      </c>
      <c r="G13" s="99">
        <f t="shared" si="2"/>
        <v>93.8</v>
      </c>
    </row>
    <row r="14" spans="1:8" x14ac:dyDescent="0.4">
      <c r="A14" s="225"/>
      <c r="B14" s="97" t="s">
        <v>47</v>
      </c>
      <c r="C14" s="148">
        <v>9.17</v>
      </c>
      <c r="D14" s="148">
        <v>49.49</v>
      </c>
      <c r="E14" s="148">
        <v>14.51</v>
      </c>
      <c r="F14" s="148">
        <v>19</v>
      </c>
      <c r="G14" s="99">
        <f t="shared" si="2"/>
        <v>92.17</v>
      </c>
      <c r="H14" s="17"/>
    </row>
    <row r="15" spans="1:8" x14ac:dyDescent="0.4">
      <c r="A15" s="94" t="s">
        <v>3</v>
      </c>
      <c r="B15" s="28"/>
      <c r="C15" s="3">
        <f>SUM(C10:C14)</f>
        <v>46.05</v>
      </c>
      <c r="D15" s="4">
        <f t="shared" ref="D15" si="3">SUM(D10:D14)</f>
        <v>246.25</v>
      </c>
      <c r="E15" s="3">
        <f t="shared" ref="E15" si="4">SUM(E10:E14)</f>
        <v>75.25</v>
      </c>
      <c r="F15" s="3">
        <f t="shared" ref="F15:G15" si="5">SUM(F10:F14)</f>
        <v>93</v>
      </c>
      <c r="G15" s="3">
        <f t="shared" si="5"/>
        <v>460.55</v>
      </c>
    </row>
    <row r="16" spans="1:8" ht="21.6" thickBot="1" x14ac:dyDescent="0.45">
      <c r="A16" s="94" t="s">
        <v>70</v>
      </c>
      <c r="B16" s="28"/>
      <c r="C16" s="3">
        <f>(C15/5)*(100)/10</f>
        <v>92.1</v>
      </c>
      <c r="D16" s="4">
        <f>(D15/5)*(100)/50</f>
        <v>98.5</v>
      </c>
      <c r="E16" s="3">
        <f>(E15/5)*(100)/20</f>
        <v>75.25</v>
      </c>
      <c r="F16" s="3">
        <f>(F15/5)*(100)/20</f>
        <v>93.000000000000014</v>
      </c>
      <c r="G16" s="4">
        <f>(G15/5)</f>
        <v>92.11</v>
      </c>
    </row>
    <row r="17" spans="1:14" ht="21.6" thickBot="1" x14ac:dyDescent="0.45">
      <c r="A17" s="223" t="s">
        <v>49</v>
      </c>
      <c r="B17" s="102" t="s">
        <v>43</v>
      </c>
      <c r="C17" s="149">
        <v>9.27</v>
      </c>
      <c r="D17" s="148">
        <v>49.6</v>
      </c>
      <c r="E17" s="148">
        <v>13.23</v>
      </c>
      <c r="F17" s="148">
        <v>19</v>
      </c>
      <c r="G17" s="99">
        <f t="shared" ref="G17:G21" si="6">SUM(C17:F17)</f>
        <v>91.100000000000009</v>
      </c>
    </row>
    <row r="18" spans="1:14" ht="21.6" thickBot="1" x14ac:dyDescent="0.45">
      <c r="A18" s="224"/>
      <c r="B18" s="103" t="s">
        <v>44</v>
      </c>
      <c r="C18" s="149">
        <v>8.67</v>
      </c>
      <c r="D18" s="148">
        <v>46.44</v>
      </c>
      <c r="E18" s="148">
        <v>14.53</v>
      </c>
      <c r="F18" s="148">
        <v>15</v>
      </c>
      <c r="G18" s="99">
        <f t="shared" si="6"/>
        <v>84.64</v>
      </c>
    </row>
    <row r="19" spans="1:14" ht="21.6" thickBot="1" x14ac:dyDescent="0.45">
      <c r="A19" s="224"/>
      <c r="B19" s="103" t="s">
        <v>45</v>
      </c>
      <c r="C19" s="149">
        <v>8.67</v>
      </c>
      <c r="D19" s="148">
        <v>48.39</v>
      </c>
      <c r="E19" s="148">
        <v>10.98</v>
      </c>
      <c r="F19" s="148">
        <v>17</v>
      </c>
      <c r="G19" s="99">
        <f t="shared" si="6"/>
        <v>85.04</v>
      </c>
      <c r="K19" s="1">
        <v>85.36</v>
      </c>
    </row>
    <row r="20" spans="1:14" ht="21.6" thickBot="1" x14ac:dyDescent="0.45">
      <c r="A20" s="224"/>
      <c r="B20" s="103" t="s">
        <v>46</v>
      </c>
      <c r="C20" s="149">
        <v>8.8699999999999992</v>
      </c>
      <c r="D20" s="148">
        <v>48.46</v>
      </c>
      <c r="E20" s="148">
        <v>13.78</v>
      </c>
      <c r="F20" s="148">
        <v>16</v>
      </c>
      <c r="G20" s="99">
        <f t="shared" si="6"/>
        <v>87.11</v>
      </c>
      <c r="K20" s="1">
        <v>92.11</v>
      </c>
    </row>
    <row r="21" spans="1:14" x14ac:dyDescent="0.4">
      <c r="A21" s="225"/>
      <c r="B21" s="104" t="s">
        <v>47</v>
      </c>
      <c r="C21" s="149">
        <v>8.9700000000000006</v>
      </c>
      <c r="D21" s="148">
        <v>48.1</v>
      </c>
      <c r="E21" s="148">
        <v>15.03</v>
      </c>
      <c r="F21" s="148">
        <v>17</v>
      </c>
      <c r="G21" s="99">
        <f t="shared" si="6"/>
        <v>89.1</v>
      </c>
      <c r="H21" s="17"/>
      <c r="K21" s="1">
        <v>87.4</v>
      </c>
    </row>
    <row r="22" spans="1:14" x14ac:dyDescent="0.4">
      <c r="A22" s="94" t="s">
        <v>3</v>
      </c>
      <c r="B22" s="91"/>
      <c r="C22" s="94">
        <f>SUM(C17:C21)</f>
        <v>44.449999999999996</v>
      </c>
      <c r="D22" s="95">
        <f t="shared" ref="D22" si="7">SUM(D17:D21)</f>
        <v>240.99</v>
      </c>
      <c r="E22" s="94">
        <f t="shared" ref="E22" si="8">SUM(E17:E21)</f>
        <v>67.55</v>
      </c>
      <c r="F22" s="94">
        <f t="shared" ref="F22:G22" si="9">SUM(F17:F21)</f>
        <v>84</v>
      </c>
      <c r="G22" s="3">
        <f t="shared" si="9"/>
        <v>436.99</v>
      </c>
      <c r="K22" s="1">
        <v>87.37</v>
      </c>
    </row>
    <row r="23" spans="1:14" ht="21.6" thickBot="1" x14ac:dyDescent="0.45">
      <c r="A23" s="94" t="s">
        <v>70</v>
      </c>
      <c r="B23" s="28"/>
      <c r="C23" s="94">
        <f>(C22/5)*(100)/10</f>
        <v>88.899999999999991</v>
      </c>
      <c r="D23" s="95">
        <f>(D22/5)*(100)/50</f>
        <v>96.396000000000001</v>
      </c>
      <c r="E23" s="94">
        <f>(E22/5)*(100)/20</f>
        <v>67.55</v>
      </c>
      <c r="F23" s="94">
        <f>(F22/5)*(100)/20</f>
        <v>84</v>
      </c>
      <c r="G23" s="4">
        <f>(G22/5)</f>
        <v>87.397999999999996</v>
      </c>
    </row>
    <row r="24" spans="1:14" ht="21.6" thickBot="1" x14ac:dyDescent="0.45">
      <c r="A24" s="223" t="s">
        <v>50</v>
      </c>
      <c r="B24" s="98" t="s">
        <v>43</v>
      </c>
      <c r="C24" s="148">
        <v>8.5399999999999991</v>
      </c>
      <c r="D24" s="148">
        <v>47.92</v>
      </c>
      <c r="E24" s="148">
        <v>14.23</v>
      </c>
      <c r="F24" s="148">
        <v>17</v>
      </c>
      <c r="G24" s="99">
        <f t="shared" ref="G24:G28" si="10">SUM(C24:F24)</f>
        <v>87.69</v>
      </c>
    </row>
    <row r="25" spans="1:14" ht="21.6" thickBot="1" x14ac:dyDescent="0.45">
      <c r="A25" s="224"/>
      <c r="B25" s="100" t="s">
        <v>44</v>
      </c>
      <c r="C25" s="148">
        <v>8.44</v>
      </c>
      <c r="D25" s="148">
        <v>48.49</v>
      </c>
      <c r="E25" s="148">
        <v>15.73</v>
      </c>
      <c r="F25" s="148">
        <v>16</v>
      </c>
      <c r="G25" s="99">
        <f t="shared" si="10"/>
        <v>88.66</v>
      </c>
      <c r="J25" s="17">
        <v>88.5</v>
      </c>
      <c r="L25" s="1">
        <v>96.4</v>
      </c>
      <c r="M25" s="1">
        <v>96.38</v>
      </c>
      <c r="N25" s="1">
        <v>91.47</v>
      </c>
    </row>
    <row r="26" spans="1:14" ht="21.6" thickBot="1" x14ac:dyDescent="0.45">
      <c r="A26" s="224"/>
      <c r="B26" s="100" t="s">
        <v>45</v>
      </c>
      <c r="C26" s="148">
        <v>8.84</v>
      </c>
      <c r="D26" s="148">
        <v>48.4</v>
      </c>
      <c r="E26" s="148">
        <v>15.13</v>
      </c>
      <c r="F26" s="148">
        <v>17</v>
      </c>
      <c r="G26" s="99">
        <f t="shared" si="10"/>
        <v>89.36999999999999</v>
      </c>
      <c r="J26" s="17">
        <v>92.1</v>
      </c>
      <c r="L26" s="1">
        <v>95.12</v>
      </c>
      <c r="M26" s="1">
        <v>96.27</v>
      </c>
      <c r="N26" s="1">
        <v>96.14</v>
      </c>
    </row>
    <row r="27" spans="1:14" ht="21.6" thickBot="1" x14ac:dyDescent="0.45">
      <c r="A27" s="224"/>
      <c r="B27" s="100" t="s">
        <v>46</v>
      </c>
      <c r="C27" s="148">
        <v>8.0399999999999991</v>
      </c>
      <c r="D27" s="148">
        <v>47.3</v>
      </c>
      <c r="E27" s="148">
        <v>15.28</v>
      </c>
      <c r="F27" s="148">
        <v>14</v>
      </c>
      <c r="G27" s="99">
        <f t="shared" si="10"/>
        <v>84.61999999999999</v>
      </c>
      <c r="J27" s="17">
        <v>88.9</v>
      </c>
      <c r="L27" s="1">
        <v>91.86</v>
      </c>
      <c r="M27" s="1">
        <v>95.6</v>
      </c>
      <c r="N27" s="1">
        <v>65.180000000000007</v>
      </c>
    </row>
    <row r="28" spans="1:14" x14ac:dyDescent="0.4">
      <c r="A28" s="225"/>
      <c r="B28" s="97" t="s">
        <v>47</v>
      </c>
      <c r="C28" s="148">
        <v>8.34</v>
      </c>
      <c r="D28" s="148">
        <v>47.46</v>
      </c>
      <c r="E28" s="148">
        <v>13.73</v>
      </c>
      <c r="F28" s="148">
        <v>17</v>
      </c>
      <c r="G28" s="99">
        <f t="shared" si="10"/>
        <v>86.53</v>
      </c>
      <c r="J28" s="17">
        <v>84.4</v>
      </c>
      <c r="L28" s="1">
        <v>82.5</v>
      </c>
      <c r="M28" s="1">
        <v>96.34</v>
      </c>
      <c r="N28" s="1">
        <v>96.05</v>
      </c>
    </row>
    <row r="29" spans="1:14" x14ac:dyDescent="0.4">
      <c r="A29" s="243" t="s">
        <v>3</v>
      </c>
      <c r="B29" s="243"/>
      <c r="C29" s="3">
        <f>SUM(C24:C28)</f>
        <v>42.2</v>
      </c>
      <c r="D29" s="4">
        <f t="shared" ref="D29" si="11">SUM(D24:D28)</f>
        <v>239.57000000000002</v>
      </c>
      <c r="E29" s="3">
        <f t="shared" ref="E29" si="12">SUM(E24:E28)</f>
        <v>74.100000000000009</v>
      </c>
      <c r="F29" s="3">
        <f t="shared" ref="F29:G29" si="13">SUM(F24:F28)</f>
        <v>81</v>
      </c>
      <c r="G29" s="3">
        <f t="shared" si="13"/>
        <v>436.87</v>
      </c>
    </row>
    <row r="30" spans="1:14" x14ac:dyDescent="0.4">
      <c r="A30" s="243" t="s">
        <v>70</v>
      </c>
      <c r="B30" s="243"/>
      <c r="C30" s="3">
        <f>(C29/5)*(100)/10</f>
        <v>84.4</v>
      </c>
      <c r="D30" s="4">
        <f>(D29/5)*(100)/50</f>
        <v>95.828000000000017</v>
      </c>
      <c r="E30" s="3">
        <f>(E29/5)*(100)/20</f>
        <v>74.100000000000009</v>
      </c>
      <c r="F30" s="3">
        <f>(F29/5)*(100)/20</f>
        <v>81</v>
      </c>
      <c r="G30" s="4">
        <f>(G29/5)</f>
        <v>87.373999999999995</v>
      </c>
    </row>
    <row r="31" spans="1:14" x14ac:dyDescent="0.4">
      <c r="A31" s="189" t="s">
        <v>118</v>
      </c>
      <c r="B31" s="189"/>
      <c r="C31" s="3">
        <v>88.48</v>
      </c>
      <c r="D31" s="4">
        <f>AVERAGE(D9,D16,D23,D30)</f>
        <v>96.431000000000012</v>
      </c>
      <c r="E31" s="4">
        <f t="shared" ref="E31:F31" si="14">AVERAGE(E9,E16,E23,E30)</f>
        <v>73.225000000000009</v>
      </c>
      <c r="F31" s="4">
        <f t="shared" si="14"/>
        <v>86.25</v>
      </c>
      <c r="G31" s="4">
        <v>88.06</v>
      </c>
    </row>
  </sheetData>
  <mergeCells count="9">
    <mergeCell ref="A1:B1"/>
    <mergeCell ref="C1:G1"/>
    <mergeCell ref="A29:B29"/>
    <mergeCell ref="A30:B30"/>
    <mergeCell ref="A31:B31"/>
    <mergeCell ref="A3:A7"/>
    <mergeCell ref="A10:A14"/>
    <mergeCell ref="A17:A21"/>
    <mergeCell ref="A24:A28"/>
  </mergeCells>
  <phoneticPr fontId="1" type="noConversion"/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049CC-32AE-4AD8-A9C6-CDE7F9E00FEA}">
  <dimension ref="A1:G32"/>
  <sheetViews>
    <sheetView workbookViewId="0">
      <selection activeCell="G14" sqref="G14"/>
    </sheetView>
  </sheetViews>
  <sheetFormatPr defaultRowHeight="21" x14ac:dyDescent="0.4"/>
  <cols>
    <col min="7" max="7" width="8.796875" style="12" customWidth="1"/>
  </cols>
  <sheetData>
    <row r="1" spans="1:7" x14ac:dyDescent="0.4">
      <c r="A1" s="244" t="s">
        <v>14</v>
      </c>
      <c r="B1" s="244"/>
      <c r="C1" s="244" t="s">
        <v>8</v>
      </c>
      <c r="D1" s="244"/>
      <c r="E1" s="244"/>
      <c r="F1" s="244"/>
      <c r="G1" s="244"/>
    </row>
    <row r="2" spans="1:7" x14ac:dyDescent="0.4">
      <c r="A2" s="56" t="s">
        <v>37</v>
      </c>
      <c r="B2" s="56" t="s">
        <v>15</v>
      </c>
      <c r="C2" s="56" t="s">
        <v>82</v>
      </c>
      <c r="D2" s="56" t="s">
        <v>83</v>
      </c>
      <c r="E2" s="56" t="s">
        <v>84</v>
      </c>
      <c r="F2" s="56" t="s">
        <v>85</v>
      </c>
      <c r="G2" s="57" t="s">
        <v>86</v>
      </c>
    </row>
    <row r="3" spans="1:7" x14ac:dyDescent="0.4">
      <c r="A3" s="56"/>
      <c r="B3" s="56"/>
      <c r="C3" s="56">
        <v>-10</v>
      </c>
      <c r="D3" s="56">
        <v>-50</v>
      </c>
      <c r="E3" s="56">
        <v>-20</v>
      </c>
      <c r="F3" s="56">
        <v>-20</v>
      </c>
      <c r="G3" s="57"/>
    </row>
    <row r="4" spans="1:7" x14ac:dyDescent="0.4">
      <c r="A4" s="56" t="s">
        <v>87</v>
      </c>
      <c r="B4" s="56" t="s">
        <v>88</v>
      </c>
      <c r="C4" s="56">
        <v>9.76</v>
      </c>
      <c r="D4" s="56">
        <v>49.42</v>
      </c>
      <c r="E4" s="56">
        <v>14.98</v>
      </c>
      <c r="F4" s="56">
        <v>19.600000000000001</v>
      </c>
      <c r="G4" s="57">
        <f>C4+D4+E4+F4</f>
        <v>93.759999999999991</v>
      </c>
    </row>
    <row r="5" spans="1:7" x14ac:dyDescent="0.4">
      <c r="A5" s="56"/>
      <c r="B5" s="56" t="s">
        <v>89</v>
      </c>
      <c r="C5" s="56">
        <v>9.69</v>
      </c>
      <c r="D5" s="56">
        <v>49.13</v>
      </c>
      <c r="E5" s="56">
        <v>13.88</v>
      </c>
      <c r="F5" s="56">
        <v>18.600000000000001</v>
      </c>
      <c r="G5" s="57">
        <f t="shared" ref="G5:G8" si="0">C5+D5+E5+F5</f>
        <v>91.300000000000011</v>
      </c>
    </row>
    <row r="6" spans="1:7" x14ac:dyDescent="0.4">
      <c r="A6" s="56"/>
      <c r="B6" s="56" t="s">
        <v>90</v>
      </c>
      <c r="C6" s="56">
        <v>9.81</v>
      </c>
      <c r="D6" s="56">
        <v>49.25</v>
      </c>
      <c r="E6" s="56">
        <v>13.68</v>
      </c>
      <c r="F6" s="56">
        <v>17.8</v>
      </c>
      <c r="G6" s="57">
        <f t="shared" si="0"/>
        <v>90.54</v>
      </c>
    </row>
    <row r="7" spans="1:7" x14ac:dyDescent="0.4">
      <c r="A7" s="56"/>
      <c r="B7" s="56" t="s">
        <v>91</v>
      </c>
      <c r="C7" s="56">
        <v>9.67</v>
      </c>
      <c r="D7" s="56">
        <v>49.09</v>
      </c>
      <c r="E7" s="56">
        <v>15.33</v>
      </c>
      <c r="F7" s="56">
        <v>19</v>
      </c>
      <c r="G7" s="57">
        <f t="shared" si="0"/>
        <v>93.09</v>
      </c>
    </row>
    <row r="8" spans="1:7" x14ac:dyDescent="0.4">
      <c r="A8" s="56"/>
      <c r="B8" s="56" t="s">
        <v>92</v>
      </c>
      <c r="C8" s="56">
        <v>9.77</v>
      </c>
      <c r="D8" s="56">
        <v>49.37</v>
      </c>
      <c r="E8" s="56">
        <v>14.03</v>
      </c>
      <c r="F8" s="56">
        <v>19.2</v>
      </c>
      <c r="G8" s="57">
        <f t="shared" si="0"/>
        <v>92.37</v>
      </c>
    </row>
    <row r="9" spans="1:7" x14ac:dyDescent="0.4">
      <c r="A9" s="56" t="s">
        <v>3</v>
      </c>
      <c r="B9" s="56"/>
      <c r="C9" s="56">
        <v>48.7</v>
      </c>
      <c r="D9" s="56">
        <v>246.24</v>
      </c>
      <c r="E9" s="56">
        <v>71.900000000000006</v>
      </c>
      <c r="F9" s="56">
        <v>94.2</v>
      </c>
      <c r="G9" s="57">
        <f>SUM(G4:G8)</f>
        <v>461.06000000000006</v>
      </c>
    </row>
    <row r="10" spans="1:7" x14ac:dyDescent="0.4">
      <c r="A10" s="56" t="s">
        <v>70</v>
      </c>
      <c r="B10" s="56"/>
      <c r="C10" s="56">
        <v>97.4</v>
      </c>
      <c r="D10" s="56">
        <v>98.49</v>
      </c>
      <c r="E10" s="56">
        <v>71.900000000000006</v>
      </c>
      <c r="F10" s="56">
        <v>94.2</v>
      </c>
      <c r="G10" s="57">
        <f>G9/5</f>
        <v>92.212000000000018</v>
      </c>
    </row>
    <row r="11" spans="1:7" x14ac:dyDescent="0.4">
      <c r="A11" s="56" t="s">
        <v>93</v>
      </c>
      <c r="B11" s="56" t="s">
        <v>88</v>
      </c>
      <c r="C11" s="56">
        <v>9.85</v>
      </c>
      <c r="D11" s="56">
        <v>49.5</v>
      </c>
      <c r="E11" s="56">
        <v>13.56</v>
      </c>
      <c r="F11" s="56">
        <v>19</v>
      </c>
      <c r="G11" s="57">
        <f>C11+D11+E11+F11</f>
        <v>91.91</v>
      </c>
    </row>
    <row r="12" spans="1:7" x14ac:dyDescent="0.4">
      <c r="A12" s="56"/>
      <c r="B12" s="56" t="s">
        <v>89</v>
      </c>
      <c r="C12" s="56">
        <v>9.85</v>
      </c>
      <c r="D12" s="56">
        <v>49.52</v>
      </c>
      <c r="E12" s="56">
        <v>15.71</v>
      </c>
      <c r="F12" s="56">
        <v>18.399999999999999</v>
      </c>
      <c r="G12" s="57">
        <f t="shared" ref="G12:G15" si="1">C12+D12+E12+F12</f>
        <v>93.480000000000018</v>
      </c>
    </row>
    <row r="13" spans="1:7" x14ac:dyDescent="0.4">
      <c r="A13" s="56"/>
      <c r="B13" s="56" t="s">
        <v>90</v>
      </c>
      <c r="C13" s="56">
        <v>9.75</v>
      </c>
      <c r="D13" s="56">
        <v>49.29</v>
      </c>
      <c r="E13" s="56">
        <v>13.56</v>
      </c>
      <c r="F13" s="56">
        <v>18.8</v>
      </c>
      <c r="G13" s="57">
        <f t="shared" si="1"/>
        <v>91.399999999999991</v>
      </c>
    </row>
    <row r="14" spans="1:7" x14ac:dyDescent="0.4">
      <c r="A14" s="56"/>
      <c r="B14" s="56" t="s">
        <v>91</v>
      </c>
      <c r="C14" s="56">
        <v>9.8000000000000007</v>
      </c>
      <c r="D14" s="56">
        <v>49.49</v>
      </c>
      <c r="E14" s="56">
        <v>15.96</v>
      </c>
      <c r="F14" s="56">
        <v>18.600000000000001</v>
      </c>
      <c r="G14" s="57">
        <f t="shared" si="1"/>
        <v>93.85</v>
      </c>
    </row>
    <row r="15" spans="1:7" x14ac:dyDescent="0.4">
      <c r="A15" s="56"/>
      <c r="B15" s="56" t="s">
        <v>92</v>
      </c>
      <c r="C15" s="56">
        <v>9.85</v>
      </c>
      <c r="D15" s="56">
        <v>49.57</v>
      </c>
      <c r="E15" s="56">
        <v>13.81</v>
      </c>
      <c r="F15" s="56">
        <v>19</v>
      </c>
      <c r="G15" s="57">
        <f t="shared" si="1"/>
        <v>92.23</v>
      </c>
    </row>
    <row r="16" spans="1:7" x14ac:dyDescent="0.4">
      <c r="A16" s="56" t="s">
        <v>3</v>
      </c>
      <c r="B16" s="56"/>
      <c r="C16" s="56">
        <v>49.1</v>
      </c>
      <c r="D16" s="56">
        <v>247.36</v>
      </c>
      <c r="E16" s="56">
        <v>72.59</v>
      </c>
      <c r="F16" s="56">
        <v>93.8</v>
      </c>
      <c r="G16" s="57">
        <f>SUM(G11:G15)</f>
        <v>462.87</v>
      </c>
    </row>
    <row r="17" spans="1:7" x14ac:dyDescent="0.4">
      <c r="A17" s="56" t="s">
        <v>70</v>
      </c>
      <c r="B17" s="56"/>
      <c r="C17" s="56">
        <v>98.4</v>
      </c>
      <c r="D17" s="56">
        <v>98.94</v>
      </c>
      <c r="E17" s="56">
        <v>72.59</v>
      </c>
      <c r="F17" s="56">
        <v>93.8</v>
      </c>
      <c r="G17" s="57">
        <f>G16/5</f>
        <v>92.573999999999998</v>
      </c>
    </row>
    <row r="18" spans="1:7" x14ac:dyDescent="0.4">
      <c r="A18" s="56" t="s">
        <v>94</v>
      </c>
      <c r="B18" s="56" t="s">
        <v>88</v>
      </c>
      <c r="C18" s="56">
        <v>9.69</v>
      </c>
      <c r="D18" s="56">
        <v>49.2</v>
      </c>
      <c r="E18" s="56">
        <v>13.44</v>
      </c>
      <c r="F18" s="56">
        <v>19</v>
      </c>
      <c r="G18" s="57">
        <f>C18+D18+E18+F18</f>
        <v>91.33</v>
      </c>
    </row>
    <row r="19" spans="1:7" x14ac:dyDescent="0.4">
      <c r="A19" s="56"/>
      <c r="B19" s="56" t="s">
        <v>89</v>
      </c>
      <c r="C19" s="56">
        <v>8.48</v>
      </c>
      <c r="D19" s="56">
        <v>46.52</v>
      </c>
      <c r="E19" s="56">
        <v>14.69</v>
      </c>
      <c r="F19" s="56">
        <v>17.600000000000001</v>
      </c>
      <c r="G19" s="57">
        <f t="shared" ref="G19:G22" si="2">C19+D19+E19+F19</f>
        <v>87.289999999999992</v>
      </c>
    </row>
    <row r="20" spans="1:7" x14ac:dyDescent="0.4">
      <c r="A20" s="56"/>
      <c r="B20" s="56" t="s">
        <v>90</v>
      </c>
      <c r="C20" s="56">
        <v>8.49</v>
      </c>
      <c r="D20" s="56">
        <v>46.45</v>
      </c>
      <c r="E20" s="56">
        <v>13.24</v>
      </c>
      <c r="F20" s="56">
        <v>16.8</v>
      </c>
      <c r="G20" s="57">
        <f t="shared" si="2"/>
        <v>84.98</v>
      </c>
    </row>
    <row r="21" spans="1:7" x14ac:dyDescent="0.4">
      <c r="A21" s="56"/>
      <c r="B21" s="56" t="s">
        <v>91</v>
      </c>
      <c r="C21" s="56">
        <v>8.8699999999999992</v>
      </c>
      <c r="D21" s="56">
        <v>47.51</v>
      </c>
      <c r="E21" s="56">
        <v>12.94</v>
      </c>
      <c r="F21" s="56">
        <v>19</v>
      </c>
      <c r="G21" s="57">
        <f t="shared" si="2"/>
        <v>88.32</v>
      </c>
    </row>
    <row r="22" spans="1:7" x14ac:dyDescent="0.4">
      <c r="A22" s="56"/>
      <c r="B22" s="56" t="s">
        <v>92</v>
      </c>
      <c r="C22" s="56">
        <v>8.82</v>
      </c>
      <c r="D22" s="56">
        <v>47.05</v>
      </c>
      <c r="E22" s="56">
        <v>12.89</v>
      </c>
      <c r="F22" s="56">
        <v>18.8</v>
      </c>
      <c r="G22" s="57">
        <f t="shared" si="2"/>
        <v>87.559999999999988</v>
      </c>
    </row>
    <row r="23" spans="1:7" x14ac:dyDescent="0.4">
      <c r="A23" s="56" t="s">
        <v>3</v>
      </c>
      <c r="B23" s="56"/>
      <c r="C23" s="56">
        <v>44.36</v>
      </c>
      <c r="D23" s="56">
        <v>236.72</v>
      </c>
      <c r="E23" s="56">
        <v>67.2</v>
      </c>
      <c r="F23" s="56">
        <v>91.2</v>
      </c>
      <c r="G23" s="57">
        <f>SUM(G18:G22)</f>
        <v>439.48</v>
      </c>
    </row>
    <row r="24" spans="1:7" x14ac:dyDescent="0.4">
      <c r="A24" s="56" t="s">
        <v>70</v>
      </c>
      <c r="B24" s="56"/>
      <c r="C24" s="56">
        <v>88.72</v>
      </c>
      <c r="D24" s="56">
        <v>94.68</v>
      </c>
      <c r="E24" s="56">
        <v>67.2</v>
      </c>
      <c r="F24" s="56">
        <v>91.2</v>
      </c>
      <c r="G24" s="57">
        <v>87.89</v>
      </c>
    </row>
    <row r="25" spans="1:7" x14ac:dyDescent="0.4">
      <c r="A25" s="56" t="s">
        <v>95</v>
      </c>
      <c r="B25" s="56" t="s">
        <v>88</v>
      </c>
      <c r="C25" s="56">
        <v>8.84</v>
      </c>
      <c r="D25" s="56">
        <v>46.73</v>
      </c>
      <c r="E25" s="56">
        <v>14.41</v>
      </c>
      <c r="F25" s="56">
        <v>17.399999999999999</v>
      </c>
      <c r="G25" s="57">
        <f>C25+D25+E25+F25</f>
        <v>87.38</v>
      </c>
    </row>
    <row r="26" spans="1:7" x14ac:dyDescent="0.4">
      <c r="A26" s="56"/>
      <c r="B26" s="56" t="s">
        <v>89</v>
      </c>
      <c r="C26" s="56">
        <v>8.39</v>
      </c>
      <c r="D26" s="56">
        <v>46.25</v>
      </c>
      <c r="E26" s="56">
        <v>15.36</v>
      </c>
      <c r="F26" s="56">
        <v>17</v>
      </c>
      <c r="G26" s="57">
        <f t="shared" ref="G26:G29" si="3">C26+D26+E26+F26</f>
        <v>87</v>
      </c>
    </row>
    <row r="27" spans="1:7" x14ac:dyDescent="0.4">
      <c r="A27" s="56"/>
      <c r="B27" s="56" t="s">
        <v>90</v>
      </c>
      <c r="C27" s="56">
        <v>8.69</v>
      </c>
      <c r="D27" s="56">
        <v>46.98</v>
      </c>
      <c r="E27" s="56">
        <v>12.91</v>
      </c>
      <c r="F27" s="56">
        <v>17.600000000000001</v>
      </c>
      <c r="G27" s="57">
        <f t="shared" si="3"/>
        <v>86.18</v>
      </c>
    </row>
    <row r="28" spans="1:7" x14ac:dyDescent="0.4">
      <c r="A28" s="56"/>
      <c r="B28" s="56" t="s">
        <v>91</v>
      </c>
      <c r="C28" s="56">
        <v>8.84</v>
      </c>
      <c r="D28" s="56">
        <v>48.03</v>
      </c>
      <c r="E28" s="56">
        <v>13.46</v>
      </c>
      <c r="F28" s="56">
        <v>18.2</v>
      </c>
      <c r="G28" s="57">
        <f t="shared" si="3"/>
        <v>88.530000000000015</v>
      </c>
    </row>
    <row r="29" spans="1:7" x14ac:dyDescent="0.4">
      <c r="A29" s="56"/>
      <c r="B29" s="56" t="s">
        <v>92</v>
      </c>
      <c r="C29" s="56">
        <v>8.64</v>
      </c>
      <c r="D29" s="56">
        <v>46.86</v>
      </c>
      <c r="E29" s="56">
        <v>12.36</v>
      </c>
      <c r="F29" s="56">
        <v>15.8</v>
      </c>
      <c r="G29" s="57">
        <f t="shared" si="3"/>
        <v>83.66</v>
      </c>
    </row>
    <row r="30" spans="1:7" x14ac:dyDescent="0.4">
      <c r="A30" s="56" t="s">
        <v>3</v>
      </c>
      <c r="B30" s="56"/>
      <c r="C30" s="56">
        <v>43.4</v>
      </c>
      <c r="D30" s="56">
        <v>234.84</v>
      </c>
      <c r="E30" s="56">
        <v>68.52</v>
      </c>
      <c r="F30" s="56">
        <v>86</v>
      </c>
      <c r="G30" s="57">
        <f>SUM(G25:G29)</f>
        <v>432.75</v>
      </c>
    </row>
    <row r="31" spans="1:7" x14ac:dyDescent="0.4">
      <c r="A31" s="56" t="s">
        <v>70</v>
      </c>
      <c r="B31" s="56"/>
      <c r="C31" s="56">
        <v>86.8</v>
      </c>
      <c r="D31" s="56">
        <v>93.93</v>
      </c>
      <c r="E31" s="56">
        <v>68.52</v>
      </c>
      <c r="F31" s="56">
        <v>86</v>
      </c>
      <c r="G31" s="57">
        <v>86.55</v>
      </c>
    </row>
    <row r="32" spans="1:7" x14ac:dyDescent="0.4">
      <c r="A32" s="56" t="s">
        <v>96</v>
      </c>
      <c r="B32" s="56"/>
      <c r="C32" s="56">
        <v>92.78</v>
      </c>
      <c r="D32" s="56">
        <v>96.51</v>
      </c>
      <c r="E32" s="56">
        <v>70.05</v>
      </c>
      <c r="F32" s="56">
        <v>91.3</v>
      </c>
      <c r="G32" s="57">
        <f>(G10+G17+G24+G31)/4</f>
        <v>89.8065</v>
      </c>
    </row>
  </sheetData>
  <mergeCells count="2">
    <mergeCell ref="A1:B1"/>
    <mergeCell ref="C1:G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8</vt:i4>
      </vt:variant>
    </vt:vector>
  </HeadingPairs>
  <TitlesOfParts>
    <vt:vector size="8" baseType="lpstr">
      <vt:lpstr>คะแนนรวม</vt:lpstr>
      <vt:lpstr>ความรู้</vt:lpstr>
      <vt:lpstr>ด้านวินัย</vt:lpstr>
      <vt:lpstr>ด้านจริยธรรม</vt:lpstr>
      <vt:lpstr>ด้านร่างกาย</vt:lpstr>
      <vt:lpstr>คะแนนรายบุคคล</vt:lpstr>
      <vt:lpstr>ผนวก</vt:lpstr>
      <vt:lpstr>สรุปคะแนน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66830</dc:creator>
  <cp:lastModifiedBy>wittaya changmor</cp:lastModifiedBy>
  <cp:lastPrinted>2025-09-24T02:14:38Z</cp:lastPrinted>
  <dcterms:created xsi:type="dcterms:W3CDTF">2022-09-25T04:44:12Z</dcterms:created>
  <dcterms:modified xsi:type="dcterms:W3CDTF">2025-12-10T03:43:10Z</dcterms:modified>
</cp:coreProperties>
</file>